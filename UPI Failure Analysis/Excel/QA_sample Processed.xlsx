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<sst xmlns="http://schemas.openxmlformats.org/spreadsheetml/2006/main" count="1050" uniqueCount="236">
  <si>
    <t>txn_id</t>
  </si>
  <si>
    <t>ts</t>
  </si>
  <si>
    <t>bank</t>
  </si>
  <si>
    <t>upi_app</t>
  </si>
  <si>
    <t>amount</t>
  </si>
  <si>
    <t>status</t>
  </si>
  <si>
    <t>failure_flag</t>
  </si>
  <si>
    <t>failure_reason</t>
  </si>
  <si>
    <t>processing_ms</t>
  </si>
  <si>
    <t>retry</t>
  </si>
  <si>
    <t>refund_time_min</t>
  </si>
  <si>
    <t>dt</t>
  </si>
  <si>
    <t>hour</t>
  </si>
  <si>
    <t>T0007055</t>
  </si>
  <si>
    <t>ICICI Bank</t>
  </si>
  <si>
    <t>GooglePay</t>
  </si>
  <si>
    <t>SUCCESS</t>
  </si>
  <si>
    <t>N</t>
  </si>
  <si>
    <t>T0000443</t>
  </si>
  <si>
    <t>Axis Bank</t>
  </si>
  <si>
    <t>T0003955</t>
  </si>
  <si>
    <t>HDFC Bank</t>
  </si>
  <si>
    <t>Paytm</t>
  </si>
  <si>
    <t>T0002289</t>
  </si>
  <si>
    <t>Kotak</t>
  </si>
  <si>
    <t>T0003197</t>
  </si>
  <si>
    <t>T0006179</t>
  </si>
  <si>
    <t>PhonePe</t>
  </si>
  <si>
    <t>FAILED</t>
  </si>
  <si>
    <t>bank_timeout</t>
  </si>
  <si>
    <t>Y</t>
  </si>
  <si>
    <t>T0008352</t>
  </si>
  <si>
    <t>BankApp</t>
  </si>
  <si>
    <t>T0005659</t>
  </si>
  <si>
    <t>T0002066</t>
  </si>
  <si>
    <t>AmazonPay</t>
  </si>
  <si>
    <t>T0000414</t>
  </si>
  <si>
    <t>SBI</t>
  </si>
  <si>
    <t>unknown_error</t>
  </si>
  <si>
    <t>T0008595</t>
  </si>
  <si>
    <t>T0001806</t>
  </si>
  <si>
    <t>insufficient_balance</t>
  </si>
  <si>
    <t>T0003632</t>
  </si>
  <si>
    <t>T0000838</t>
  </si>
  <si>
    <t>T0009323</t>
  </si>
  <si>
    <t>T0004187</t>
  </si>
  <si>
    <t>T0006569</t>
  </si>
  <si>
    <t>T0005402</t>
  </si>
  <si>
    <t>T0008468</t>
  </si>
  <si>
    <t>T0001996</t>
  </si>
  <si>
    <t>T0005154</t>
  </si>
  <si>
    <t>T0004922</t>
  </si>
  <si>
    <t>T0007756</t>
  </si>
  <si>
    <t>T0005493</t>
  </si>
  <si>
    <t>T0002594</t>
  </si>
  <si>
    <t>gateway_timeout</t>
  </si>
  <si>
    <t>T0001746</t>
  </si>
  <si>
    <t>T0007399</t>
  </si>
  <si>
    <t>T0008047</t>
  </si>
  <si>
    <t>T0003831</t>
  </si>
  <si>
    <t>T0004872</t>
  </si>
  <si>
    <t>T0002098</t>
  </si>
  <si>
    <t>T0004873</t>
  </si>
  <si>
    <t>T0005434</t>
  </si>
  <si>
    <t>T0008712</t>
  </si>
  <si>
    <t>T0001811</t>
  </si>
  <si>
    <t>network_issue</t>
  </si>
  <si>
    <t>T0001092</t>
  </si>
  <si>
    <t>T0007479</t>
  </si>
  <si>
    <t>T0006991</t>
  </si>
  <si>
    <t>T0002829</t>
  </si>
  <si>
    <t>T0002201</t>
  </si>
  <si>
    <t>T0003347</t>
  </si>
  <si>
    <t>T0007048</t>
  </si>
  <si>
    <t>T0008900</t>
  </si>
  <si>
    <t>T0000158</t>
  </si>
  <si>
    <t>T0006985</t>
  </si>
  <si>
    <t>T0001243</t>
  </si>
  <si>
    <t>T0000102</t>
  </si>
  <si>
    <t>T0004255</t>
  </si>
  <si>
    <t>T0004883</t>
  </si>
  <si>
    <t>T0008204</t>
  </si>
  <si>
    <t>T0009370</t>
  </si>
  <si>
    <t>T0009108</t>
  </si>
  <si>
    <t>T0007476</t>
  </si>
  <si>
    <t>T0009365</t>
  </si>
  <si>
    <t>T0007966</t>
  </si>
  <si>
    <t>T0006186</t>
  </si>
  <si>
    <t>T0000965</t>
  </si>
  <si>
    <t>T0003667</t>
  </si>
  <si>
    <t>T0002804</t>
  </si>
  <si>
    <t>T0009704</t>
  </si>
  <si>
    <t>T0003686</t>
  </si>
  <si>
    <t>T0007316</t>
  </si>
  <si>
    <t>T0002688</t>
  </si>
  <si>
    <t>T0007450</t>
  </si>
  <si>
    <t>daily_limit_exceeded</t>
  </si>
  <si>
    <t>T0002232</t>
  </si>
  <si>
    <t>T0004430</t>
  </si>
  <si>
    <t>T0007342</t>
  </si>
  <si>
    <t>T0001522</t>
  </si>
  <si>
    <t>T0003179</t>
  </si>
  <si>
    <t>T0006741</t>
  </si>
  <si>
    <t>T0000609</t>
  </si>
  <si>
    <t>T0007498</t>
  </si>
  <si>
    <t>T0008848</t>
  </si>
  <si>
    <t>T0005729</t>
  </si>
  <si>
    <t>T0009429</t>
  </si>
  <si>
    <t>T0009216</t>
  </si>
  <si>
    <t>T0002421</t>
  </si>
  <si>
    <t>T0009523</t>
  </si>
  <si>
    <t>T0004647</t>
  </si>
  <si>
    <t>T0002050</t>
  </si>
  <si>
    <t>T0006709</t>
  </si>
  <si>
    <t>T0005350</t>
  </si>
  <si>
    <t>T0003870</t>
  </si>
  <si>
    <t>T0001240</t>
  </si>
  <si>
    <t>T0005412</t>
  </si>
  <si>
    <t>T0007283</t>
  </si>
  <si>
    <t>T0008927</t>
  </si>
  <si>
    <t>T0003358</t>
  </si>
  <si>
    <t>T0004787</t>
  </si>
  <si>
    <t>T0002468</t>
  </si>
  <si>
    <t>T0000228</t>
  </si>
  <si>
    <t>T0004100</t>
  </si>
  <si>
    <t>T0001314</t>
  </si>
  <si>
    <t>T0003159</t>
  </si>
  <si>
    <t>T0004017</t>
  </si>
  <si>
    <t>T0003371</t>
  </si>
  <si>
    <t>T0006167</t>
  </si>
  <si>
    <t>T0004654</t>
  </si>
  <si>
    <t>T0005760</t>
  </si>
  <si>
    <t>T0000426</t>
  </si>
  <si>
    <t>T0000578</t>
  </si>
  <si>
    <t>T0000126</t>
  </si>
  <si>
    <t>T0006627</t>
  </si>
  <si>
    <t>T0009577</t>
  </si>
  <si>
    <t>T0008816</t>
  </si>
  <si>
    <t>T0000070</t>
  </si>
  <si>
    <t>T0006316</t>
  </si>
  <si>
    <t>T0003834</t>
  </si>
  <si>
    <t>T0008823</t>
  </si>
  <si>
    <t>T0006050</t>
  </si>
  <si>
    <t>T0000961</t>
  </si>
  <si>
    <t>T0009903</t>
  </si>
  <si>
    <t>T0008301</t>
  </si>
  <si>
    <t>T0009207</t>
  </si>
  <si>
    <t>T0009639</t>
  </si>
  <si>
    <t>T0001432</t>
  </si>
  <si>
    <t>T0005661</t>
  </si>
  <si>
    <t>T0009010</t>
  </si>
  <si>
    <t>T0002229</t>
  </si>
  <si>
    <t>T0007701</t>
  </si>
  <si>
    <t>T0003924</t>
  </si>
  <si>
    <t>T0001253</t>
  </si>
  <si>
    <t>T0006088</t>
  </si>
  <si>
    <t>T0005267</t>
  </si>
  <si>
    <t>T0001105</t>
  </si>
  <si>
    <t>T0004672</t>
  </si>
  <si>
    <t>T0001500</t>
  </si>
  <si>
    <t>T0006027</t>
  </si>
  <si>
    <t>T0005677</t>
  </si>
  <si>
    <t>T0009294</t>
  </si>
  <si>
    <t>T0002455</t>
  </si>
  <si>
    <t>T0004327</t>
  </si>
  <si>
    <t>T0005118</t>
  </si>
  <si>
    <t>T0005782</t>
  </si>
  <si>
    <t>T0001000</t>
  </si>
  <si>
    <t>T0007218</t>
  </si>
  <si>
    <t>T0009810</t>
  </si>
  <si>
    <t>T0008897</t>
  </si>
  <si>
    <t>T0004976</t>
  </si>
  <si>
    <t>T0002452</t>
  </si>
  <si>
    <t>T0000932</t>
  </si>
  <si>
    <t>T0005374</t>
  </si>
  <si>
    <t>T0008544</t>
  </si>
  <si>
    <t>T0009826</t>
  </si>
  <si>
    <t>T0001978</t>
  </si>
  <si>
    <t>T0004071</t>
  </si>
  <si>
    <t>T0009469</t>
  </si>
  <si>
    <t>T0002309</t>
  </si>
  <si>
    <t>T0004412</t>
  </si>
  <si>
    <t>T0000762</t>
  </si>
  <si>
    <t>T0003522</t>
  </si>
  <si>
    <t>T0005662</t>
  </si>
  <si>
    <t>T0006701</t>
  </si>
  <si>
    <t>T0005077</t>
  </si>
  <si>
    <t>T0001617</t>
  </si>
  <si>
    <t>T0006858</t>
  </si>
  <si>
    <t>T0000178</t>
  </si>
  <si>
    <t>T0004268</t>
  </si>
  <si>
    <t>T0001902</t>
  </si>
  <si>
    <t>T0000543</t>
  </si>
  <si>
    <t>T0002847</t>
  </si>
  <si>
    <t>T0002650</t>
  </si>
  <si>
    <t>T0006810</t>
  </si>
  <si>
    <t>T0003263</t>
  </si>
  <si>
    <t>T0002033</t>
  </si>
  <si>
    <t>T0006611</t>
  </si>
  <si>
    <t>T0008758</t>
  </si>
  <si>
    <t>T0001245</t>
  </si>
  <si>
    <t>T0007015</t>
  </si>
  <si>
    <t>T0005509</t>
  </si>
  <si>
    <t>T0004228</t>
  </si>
  <si>
    <t>T0004453</t>
  </si>
  <si>
    <t>T0005833</t>
  </si>
  <si>
    <t>T0007700</t>
  </si>
  <si>
    <t>T0008363</t>
  </si>
  <si>
    <t>T0009498</t>
  </si>
  <si>
    <t>T0003072</t>
  </si>
  <si>
    <t>T0001962</t>
  </si>
  <si>
    <t>T0003533</t>
  </si>
  <si>
    <t>T0007559</t>
  </si>
  <si>
    <t>T0009837</t>
  </si>
  <si>
    <t>T0005067</t>
  </si>
  <si>
    <t>T0001470</t>
  </si>
  <si>
    <t>T0005913</t>
  </si>
  <si>
    <t>T0005606</t>
  </si>
  <si>
    <t>T0008706</t>
  </si>
  <si>
    <t>T0002017</t>
  </si>
  <si>
    <t>T0005987</t>
  </si>
  <si>
    <t>T0002695</t>
  </si>
  <si>
    <t>T0001828</t>
  </si>
  <si>
    <t>T0006978</t>
  </si>
  <si>
    <t>T0003937</t>
  </si>
  <si>
    <t>T0003304</t>
  </si>
  <si>
    <t>T0009054</t>
  </si>
  <si>
    <t>T0001310</t>
  </si>
  <si>
    <t>T0005547</t>
  </si>
  <si>
    <t>T0008271</t>
  </si>
  <si>
    <t>T0001038</t>
  </si>
  <si>
    <t>T0001161</t>
  </si>
  <si>
    <t>T0000902</t>
  </si>
  <si>
    <t>COUNTA of txn_id</t>
  </si>
  <si>
    <t>AVERAGE of failure_flag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</si>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</sst>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/>
    </xf>
    <xf borderId="0" fillId="0" fontId="2" numFmtId="0" xfId="0" applyFont="1"/>
    <xf borderId="0" fillId="0" fontId="3" numFmtId="164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01" sheet="Sheet1"/>
  </cacheSource>
  <cacheFields>
    <cacheField name="txn_id" numFmtId="0">
      <sharedItems>
        <s v="T0007055"/>
        <s v="T0000443"/>
        <s v="T0003955"/>
        <s v="T0002289"/>
        <s v="T0003197"/>
        <s v="T0006179"/>
        <s v="T0008352"/>
        <s v="T0005659"/>
        <s v="T0002066"/>
        <s v="T0000414"/>
        <s v="T0008595"/>
        <s v="T0001806"/>
        <s v="T0003632"/>
        <s v="T0000838"/>
        <s v="T0009323"/>
        <s v="T0004187"/>
        <s v="T0006569"/>
        <s v="T0005402"/>
        <s v="T0008468"/>
        <s v="T0001996"/>
        <s v="T0005154"/>
        <s v="T0004922"/>
        <s v="T0007756"/>
        <s v="T0005493"/>
        <s v="T0002594"/>
        <s v="T0001746"/>
        <s v="T0007399"/>
        <s v="T0008047"/>
        <s v="T0003831"/>
        <s v="T0004872"/>
        <s v="T0002098"/>
        <s v="T0004873"/>
        <s v="T0005434"/>
        <s v="T0008712"/>
        <s v="T0001811"/>
        <s v="T0001092"/>
        <s v="T0007479"/>
        <s v="T0006991"/>
        <s v="T0002829"/>
        <s v="T0002201"/>
        <s v="T0003347"/>
        <s v="T0007048"/>
        <s v="T0008900"/>
        <s v="T0000158"/>
        <s v="T0006985"/>
        <s v="T0001243"/>
        <s v="T0000102"/>
        <s v="T0004255"/>
        <s v="T0004883"/>
        <s v="T0008204"/>
        <s v="T0009370"/>
        <s v="T0009108"/>
        <s v="T0007476"/>
        <s v="T0009365"/>
        <s v="T0007966"/>
        <s v="T0006186"/>
        <s v="T0000965"/>
        <s v="T0003667"/>
        <s v="T0002804"/>
        <s v="T0009704"/>
        <s v="T0003686"/>
        <s v="T0007316"/>
        <s v="T0002688"/>
        <s v="T0007450"/>
        <s v="T0002232"/>
        <s v="T0004430"/>
        <s v="T0007342"/>
        <s v="T0001522"/>
        <s v="T0003179"/>
        <s v="T0006741"/>
        <s v="T0000609"/>
        <s v="T0007498"/>
        <s v="T0008848"/>
        <s v="T0005729"/>
        <s v="T0009429"/>
        <s v="T0009216"/>
        <s v="T0002421"/>
        <s v="T0009523"/>
        <s v="T0004647"/>
        <s v="T0002050"/>
        <s v="T0006709"/>
        <s v="T0005350"/>
        <s v="T0003870"/>
        <s v="T0001240"/>
        <s v="T0005412"/>
        <s v="T0007283"/>
        <s v="T0008927"/>
        <s v="T0003358"/>
        <s v="T0004787"/>
        <s v="T0002468"/>
        <s v="T0000228"/>
        <s v="T0004100"/>
        <s v="T0001314"/>
        <s v="T0003159"/>
        <s v="T0004017"/>
        <s v="T0003371"/>
        <s v="T0006167"/>
        <s v="T0004654"/>
        <s v="T0005760"/>
        <s v="T0000426"/>
        <s v="T0000578"/>
        <s v="T0000126"/>
        <s v="T0006627"/>
        <s v="T0009577"/>
        <s v="T0008816"/>
        <s v="T0000070"/>
        <s v="T0006316"/>
        <s v="T0003834"/>
        <s v="T0008823"/>
        <s v="T0006050"/>
        <s v="T0000961"/>
        <s v="T0009903"/>
        <s v="T0008301"/>
        <s v="T0009207"/>
        <s v="T0009639"/>
        <s v="T0001432"/>
        <s v="T0005661"/>
        <s v="T0009010"/>
        <s v="T0002229"/>
        <s v="T0007701"/>
        <s v="T0003924"/>
        <s v="T0001253"/>
        <s v="T0006088"/>
        <s v="T0005267"/>
        <s v="T0001105"/>
        <s v="T0004672"/>
        <s v="T0001500"/>
        <s v="T0006027"/>
        <s v="T0005677"/>
        <s v="T0009294"/>
        <s v="T0002455"/>
        <s v="T0004327"/>
        <s v="T0005118"/>
        <s v="T0005782"/>
        <s v="T0001000"/>
        <s v="T0007218"/>
        <s v="T0009810"/>
        <s v="T0008897"/>
        <s v="T0004976"/>
        <s v="T0002452"/>
        <s v="T0000932"/>
        <s v="T0005374"/>
        <s v="T0008544"/>
        <s v="T0009826"/>
        <s v="T0001978"/>
        <s v="T0004071"/>
        <s v="T0009469"/>
        <s v="T0002309"/>
        <s v="T0004412"/>
        <s v="T0000762"/>
        <s v="T0003522"/>
        <s v="T0005662"/>
        <s v="T0006701"/>
        <s v="T0005077"/>
        <s v="T0001617"/>
        <s v="T0006858"/>
        <s v="T0000178"/>
        <s v="T0004268"/>
        <s v="T0001902"/>
        <s v="T0000543"/>
        <s v="T0002847"/>
        <s v="T0002650"/>
        <s v="T0006810"/>
        <s v="T0003263"/>
        <s v="T0002033"/>
        <s v="T0006611"/>
        <s v="T0008758"/>
        <s v="T0001245"/>
        <s v="T0007015"/>
        <s v="T0005509"/>
        <s v="T0004228"/>
        <s v="T0004453"/>
        <s v="T0005833"/>
        <s v="T0007700"/>
        <s v="T0008363"/>
        <s v="T0009498"/>
        <s v="T0003072"/>
        <s v="T0001962"/>
        <s v="T0003533"/>
        <s v="T0007559"/>
        <s v="T0009837"/>
        <s v="T0005067"/>
        <s v="T0001470"/>
        <s v="T0005913"/>
        <s v="T0005606"/>
        <s v="T0008706"/>
        <s v="T0002017"/>
        <s v="T0005987"/>
        <s v="T0002695"/>
        <s v="T0001828"/>
        <s v="T0006978"/>
        <s v="T0003937"/>
        <s v="T0003304"/>
        <s v="T0009054"/>
        <s v="T0001310"/>
        <s v="T0005547"/>
        <s v="T0008271"/>
        <s v="T0001038"/>
        <s v="T0001161"/>
        <s v="T0000902"/>
      </sharedItems>
    </cacheField>
    <cacheField name="ts" numFmtId="0">
      <sharedItems containsSemiMixedTypes="0" containsString="0" containsNumber="1" containsInteger="1">
        <n v="1.76418294E9"/>
        <n v="1.7642703E9"/>
        <n v="1.76414568E9"/>
        <n v="1.76436492E9"/>
        <n v="1.7641731E9"/>
        <n v="1.7642076E9"/>
        <n v="1.76402202E9"/>
        <n v="1.76415768E9"/>
        <n v="1.76432826E9"/>
        <n v="1.76427438E9"/>
        <n v="1.76405706E9"/>
        <n v="1.76435922E9"/>
        <n v="1.76427408E9"/>
        <n v="1.76418654E9"/>
        <n v="1.76454E9"/>
        <n v="1.76405406E9"/>
        <n v="1.76406864E9"/>
        <n v="1.76449734E9"/>
        <n v="1.76417256E9"/>
        <n v="1.76409702E9"/>
        <n v="1.76444124E9"/>
        <n v="1.76402652E9"/>
        <n v="1.76444034E9"/>
        <n v="1.76427372E9"/>
        <n v="1.7640276E9"/>
        <n v="1.76453466E9"/>
        <n v="1.76440572E9"/>
        <n v="1.76422452E9"/>
        <n v="1.76444916E9"/>
        <n v="1.7643432E9"/>
        <n v="1.76410596E9"/>
        <n v="1.76418864E9"/>
        <n v="1.76446788E9"/>
        <n v="1.76436846E9"/>
        <n v="1.76410728E9"/>
        <n v="1.76411034E9"/>
        <n v="1.76413224E9"/>
        <n v="1.76454216E9"/>
        <n v="1.76395482E9"/>
        <n v="1.7644374E9"/>
        <n v="1.76401632E9"/>
        <n v="1.763955E9"/>
        <n v="1.76432238E9"/>
        <n v="1.7643651E9"/>
        <n v="1.76454174E9"/>
        <n v="1.76435622E9"/>
        <n v="1.76396196E9"/>
        <n v="1.76444478E9"/>
        <n v="1.76401698E9"/>
        <n v="1.7641803E9"/>
        <n v="1.76416152E9"/>
        <n v="1.76410878E9"/>
        <n v="1.76436528E9"/>
        <n v="1.76446236E9"/>
        <n v="1.76444682E9"/>
        <n v="1.76446482E9"/>
        <n v="1.76454264E9"/>
        <n v="1.76409642E9"/>
        <n v="1.76411292E9"/>
        <n v="1.76418648E9"/>
        <n v="1.76401764E9"/>
        <n v="1.76453106E9"/>
        <n v="1.76437428E9"/>
        <n v="1.764273E9"/>
        <n v="1.76431692E9"/>
        <n v="1.76441406E9"/>
        <n v="1.76430186E9"/>
        <n v="1.76437332E9"/>
        <n v="1.76454546E9"/>
        <n v="1.76409672E9"/>
        <n v="1.76410962E9"/>
        <n v="1.76427594E9"/>
        <n v="1.76444166E9"/>
        <n v="1.76410974E9"/>
        <n v="1.76404104E9"/>
        <n v="1.76444154E9"/>
        <n v="1.76442702E9"/>
        <n v="1.76431152E9"/>
        <n v="1.76407458E9"/>
        <n v="1.76396364E9"/>
        <n v="1.76427354E9"/>
        <n v="1.76436612E9"/>
        <n v="1.76448738E9"/>
        <n v="1.764018E9"/>
        <n v="1.76428458E9"/>
        <n v="1.7642178E9"/>
        <n v="1.76451312E9"/>
        <n v="1.76453274E9"/>
        <n v="1.76401626E9"/>
        <n v="1.76452674E9"/>
        <n v="1.76400816E9"/>
        <n v="1.76398494E9"/>
        <n v="1.76407614E9"/>
        <n v="1.76454468E9"/>
        <n v="1.764201E9"/>
        <n v="1.76405664E9"/>
        <n v="1.7642679E9"/>
        <n v="1.76445396E9"/>
        <n v="1.7640147E9"/>
        <n v="1.76410242E9"/>
        <n v="1.76408286E9"/>
        <n v="1.76450844E9"/>
        <n v="1.76422566E9"/>
        <n v="1.76444214E9"/>
        <n v="1.76419488E9"/>
        <n v="1.76445822E9"/>
        <n v="1.76410986E9"/>
        <n v="1.7641005E9"/>
        <n v="1.7642127E9"/>
        <n v="1.76435946E9"/>
        <n v="1.76403672E9"/>
        <n v="1.76433684E9"/>
        <n v="1.76415114E9"/>
        <n v="1.76448684E9"/>
        <n v="1.76418348E9"/>
        <n v="1.76427816E9"/>
        <n v="1.76419326E9"/>
        <n v="1.7640162E9"/>
        <n v="1.76408694E9"/>
        <n v="1.76418426E9"/>
        <n v="1.76396256E9"/>
        <n v="1.76450106E9"/>
        <n v="1.7641392E9"/>
        <n v="1.76445408E9"/>
        <n v="1.76401302E9"/>
        <n v="1.7643792E9"/>
        <n v="1.76453892E9"/>
        <n v="1.76431452E9"/>
        <n v="1.76405148E9"/>
        <n v="1.76410542E9"/>
        <n v="1.76405796E9"/>
        <n v="1.76419074E9"/>
        <n v="1.76418672E9"/>
        <n v="1.76430936E9"/>
        <n v="1.76438496E9"/>
        <n v="1.76427174E9"/>
        <n v="1.7640549E9"/>
        <n v="1.76410554E9"/>
        <n v="1.7640219E9"/>
        <n v="1.7642781E9"/>
        <n v="1.76447808E9"/>
        <n v="1.76454636E9"/>
        <n v="1.7645127E9"/>
        <n v="1.76454162E9"/>
        <n v="1.76428128E9"/>
        <n v="1.76402736E9"/>
        <n v="1.7641971E9"/>
        <n v="1.76415654E9"/>
        <n v="1.76419038E9"/>
        <n v="1.76395236E9"/>
        <n v="1.7643582E9"/>
        <n v="1.76426634E9"/>
        <n v="1.7644566E9"/>
        <n v="1.7645094E9"/>
        <n v="1.76435976E9"/>
        <n v="1.76445186E9"/>
        <n v="1.76424672E9"/>
        <n v="1.76446128E9"/>
        <n v="1.76427798E9"/>
        <n v="1.76422314E9"/>
        <n v="1.76401536E9"/>
        <n v="1.7645406E9"/>
        <n v="1.76427768E9"/>
        <n v="1.76453826E9"/>
        <n v="1.76410434E9"/>
        <n v="1.76438274E9"/>
        <n v="1.76436942E9"/>
        <n v="1.7641038E9"/>
        <n v="1.76422392E9"/>
        <n v="1.76416704E9"/>
        <n v="1.7642262E9"/>
        <n v="1.76418894E9"/>
        <n v="1.76402076E9"/>
        <n v="1.76418888E9"/>
        <n v="1.7644569E9"/>
        <n v="1.76428224E9"/>
        <n v="1.76445582E9"/>
        <n v="1.76447022E9"/>
        <n v="1.76435472E9"/>
        <n v="1.76435202E9"/>
        <n v="1.76436306E9"/>
        <n v="1.76428068E9"/>
        <n v="1.76409078E9"/>
        <n v="1.76453526E9"/>
        <n v="1.76432112E9"/>
        <n v="1.76422944E9"/>
        <n v="1.76417262E9"/>
        <n v="1.76427078E9"/>
        <n v="1.76398284E9"/>
        <n v="1.76452656E9"/>
        <n v="1.76435346E9"/>
        <n v="1.76444508E9"/>
        <n v="1.7640087E9"/>
        <n v="1.76439024E9"/>
        <n v="1.76400804E9"/>
        <n v="1.76417874E9"/>
        <n v="1.76400906E9"/>
        <n v="1.76419368E9"/>
      </sharedItems>
    </cacheField>
    <cacheField name="bank" numFmtId="0">
      <sharedItems>
        <s v="ICICI Bank"/>
        <s v="Axis Bank"/>
        <s v="HDFC Bank"/>
        <s v="Kotak"/>
        <s v="SBI"/>
      </sharedItems>
    </cacheField>
    <cacheField name="upi_app" numFmtId="0">
      <sharedItems>
        <s v="GooglePay"/>
        <s v="Paytm"/>
        <s v="PhonePe"/>
        <s v="BankApp"/>
        <s v="AmazonPay"/>
      </sharedItems>
    </cacheField>
    <cacheField name="amount" numFmtId="0">
      <sharedItems containsSemiMixedTypes="0" containsString="0" containsNumber="1">
        <n v="14.23"/>
        <n v="40.51"/>
        <n v="18.2"/>
        <n v="33.87"/>
        <n v="19.44"/>
        <n v="44.68"/>
        <n v="19.04"/>
        <n v="37.99"/>
        <n v="24.41"/>
        <n v="50.73"/>
        <n v="43.17"/>
        <n v="41.56"/>
        <n v="18.66"/>
        <n v="45.3"/>
        <n v="19.79"/>
        <n v="48.65"/>
        <n v="26.06"/>
        <n v="40.29"/>
        <n v="49.82"/>
        <n v="39.96"/>
        <n v="50.8"/>
        <n v="33.04"/>
        <n v="28.76"/>
        <n v="38.58"/>
        <n v="37.45"/>
        <n v="23.38"/>
        <n v="49.14"/>
        <n v="29.94"/>
        <n v="34.7"/>
        <n v="47.43"/>
        <n v="48.99"/>
        <n v="29.07"/>
        <n v="17.73"/>
        <n v="24.61"/>
        <n v="21.44"/>
        <n v="38.65"/>
        <n v="15.43"/>
        <n v="33.75"/>
        <n v="10.72"/>
        <n v="30.08"/>
        <n v="49.42"/>
        <n v="40.69"/>
        <n v="46.97"/>
        <n v="29.04"/>
        <n v="18.52"/>
        <n v="37.04"/>
        <n v="21.01"/>
        <n v="27.38"/>
        <n v="24.52"/>
        <n v="37.23"/>
        <n v="17.88"/>
        <n v="34.73"/>
        <n v="14.65"/>
        <n v="35.02"/>
        <n v="28.25"/>
        <n v="14.64"/>
        <n v="46.93"/>
        <n v="49.76"/>
        <n v="30.45"/>
        <n v="39.53"/>
        <n v="51.64"/>
        <n v="19.67"/>
        <n v="16.62"/>
        <n v="51.63"/>
        <n v="14.57"/>
        <n v="33.17"/>
        <n v="43.91"/>
        <n v="26.16"/>
        <n v="17.9"/>
        <n v="32.58"/>
        <n v="35.54"/>
        <n v="39.77"/>
        <n v="47.08"/>
        <n v="25.91"/>
        <n v="29.81"/>
        <n v="39.75"/>
        <n v="17.0"/>
        <n v="50.94"/>
        <n v="34.1"/>
        <n v="14.09"/>
        <n v="39.91"/>
        <n v="35.89"/>
        <n v="31.91"/>
        <n v="34.74"/>
        <n v="46.83"/>
        <n v="27.21"/>
        <n v="34.92"/>
        <n v="36.77"/>
        <n v="46.24"/>
        <n v="29.19"/>
        <n v="40.82"/>
        <n v="49.66"/>
        <n v="23.19"/>
        <n v="36.39"/>
        <n v="45.25"/>
        <n v="45.07"/>
        <n v="17.15"/>
        <n v="28.21"/>
        <n v="15.3"/>
        <n v="30.52"/>
        <n v="48.96"/>
        <n v="27.17"/>
        <n v="41.31"/>
        <n v="22.65"/>
        <n v="41.9"/>
        <n v="46.45"/>
        <n v="21.22"/>
        <n v="50.31"/>
        <n v="18.76"/>
        <n v="40.77"/>
        <n v="27.62"/>
        <n v="25.83"/>
        <n v="17.1"/>
        <n v="44.38"/>
        <n v="36.04"/>
        <n v="48.25"/>
        <n v="45.74"/>
        <n v="27.1"/>
        <n v="53.97"/>
        <n v="46.28"/>
        <n v="20.21"/>
        <n v="24.67"/>
        <n v="29.47"/>
        <n v="14.38"/>
        <n v="17.72"/>
        <n v="27.73"/>
        <n v="42.4"/>
        <n v="40.06"/>
        <n v="20.44"/>
        <n v="27.08"/>
        <n v="18.13"/>
        <n v="14.51"/>
        <n v="42.12"/>
        <n v="41.92"/>
        <n v="17.45"/>
        <n v="27.57"/>
        <n v="50.23"/>
        <n v="21.55"/>
        <n v="49.64"/>
        <n v="52.67"/>
        <n v="26.03"/>
        <n v="15.73"/>
        <n v="42.74"/>
        <n v="31.15"/>
        <n v="31.89"/>
        <n v="38.51"/>
        <n v="22.06"/>
        <n v="38.71"/>
        <n v="21.3"/>
        <n v="18.9"/>
        <n v="25.16"/>
        <n v="40.63"/>
        <n v="42.26"/>
        <n v="17.78"/>
        <n v="22.96"/>
        <n v="31.96"/>
        <n v="21.09"/>
        <n v="35.81"/>
        <n v="54.19"/>
        <n v="33.52"/>
        <n v="26.45"/>
        <n v="53.49"/>
        <n v="10.7"/>
        <n v="17.87"/>
        <n v="35.25"/>
        <n v="37.24"/>
        <n v="28.19"/>
        <n v="23.14"/>
        <n v="27.28"/>
        <n v="22.09"/>
        <n v="32.86"/>
        <n v="34.27"/>
        <n v="45.28"/>
        <n v="25.1"/>
        <n v="42.61"/>
        <n v="45.62"/>
        <n v="41.54"/>
        <n v="43.09"/>
        <n v="29.75"/>
        <n v="18.77"/>
        <n v="19.73"/>
        <n v="39.35"/>
        <n v="27.46"/>
        <n v="31.31"/>
        <n v="43.82"/>
        <n v="36.94"/>
        <n v="48.44"/>
        <n v="48.74"/>
        <n v="41.23"/>
        <n v="39.65"/>
        <n v="24.01"/>
        <n v="31.73"/>
        <n v="46.59"/>
        <n v="33.42"/>
        <n v="44.21"/>
        <n v="31.23"/>
        <n v="39.83"/>
      </sharedItems>
    </cacheField>
    <cacheField name="status" numFmtId="0">
      <sharedItems>
        <s v="SUCCESS"/>
        <s v="FAILED"/>
      </sharedItems>
    </cacheField>
    <cacheField name="failure_flag" numFmtId="0">
      <sharedItems containsSemiMixedTypes="0" containsString="0" containsNumber="1" containsInteger="1">
        <n v="0.0"/>
        <n v="1.0"/>
      </sharedItems>
    </cacheField>
    <cacheField name="failure_reason" numFmtId="0">
      <sharedItems containsBlank="1">
        <m/>
        <s v="bank_timeout"/>
        <s v="unknown_error"/>
        <s v="insufficient_balance"/>
        <s v="gateway_timeout"/>
        <s v="network_issue"/>
        <s v="daily_limit_exceeded"/>
      </sharedItems>
    </cacheField>
    <cacheField name="processing_ms" numFmtId="0">
      <sharedItems containsSemiMixedTypes="0" containsString="0" containsNumber="1" containsInteger="1">
        <n v="380.0"/>
        <n v="305.0"/>
        <n v="355.0"/>
        <n v="248.0"/>
        <n v="259.0"/>
        <n v="466.0"/>
        <n v="457.0"/>
        <n v="418.0"/>
        <n v="483.0"/>
        <n v="601.0"/>
        <n v="197.0"/>
        <n v="294.0"/>
        <n v="169.0"/>
        <n v="564.0"/>
        <n v="511.0"/>
        <n v="429.0"/>
        <n v="468.0"/>
        <n v="550.0"/>
        <n v="340.0"/>
        <n v="314.0"/>
        <n v="374.0"/>
        <n v="186.0"/>
        <n v="272.0"/>
        <n v="343.0"/>
        <n v="215.0"/>
        <n v="40.0"/>
        <n v="231.0"/>
        <n v="159.0"/>
        <n v="500.0"/>
        <n v="405.0"/>
        <n v="423.0"/>
        <n v="496.0"/>
        <n v="365.0"/>
        <n v="519.0"/>
        <n v="236.0"/>
        <n v="285.0"/>
        <n v="514.0"/>
        <n v="156.0"/>
        <n v="224.0"/>
        <n v="242.0"/>
        <n v="459.0"/>
        <n v="521.0"/>
        <n v="233.0"/>
        <n v="396.0"/>
        <n v="390.0"/>
        <n v="216.0"/>
        <n v="395.0"/>
        <n v="412.0"/>
        <n v="596.0"/>
        <n v="344.0"/>
        <n v="353.0"/>
        <n v="558.0"/>
        <n v="591.0"/>
        <n v="282.0"/>
        <n v="113.0"/>
        <n v="299.0"/>
        <n v="356.0"/>
        <n v="203.0"/>
        <n v="367.0"/>
        <n v="79.0"/>
        <n v="398.0"/>
        <n v="568.0"/>
        <n v="644.0"/>
        <n v="476.0"/>
        <n v="465.0"/>
        <n v="372.0"/>
        <n v="77.0"/>
        <n v="220.0"/>
        <n v="393.0"/>
        <n v="90.0"/>
        <n v="181.0"/>
        <n v="446.0"/>
        <n v="428.0"/>
        <n v="240.0"/>
        <n v="517.0"/>
        <n v="339.0"/>
        <n v="348.0"/>
        <n v="406.0"/>
        <n v="278.0"/>
        <n v="389.0"/>
        <n v="376.0"/>
        <n v="410.0"/>
        <n v="569.0"/>
        <n v="201.0"/>
        <n v="345.0"/>
        <n v="415.0"/>
        <n v="188.0"/>
        <n v="68.0"/>
        <n v="267.0"/>
        <n v="147.0"/>
        <n v="493.0"/>
        <n v="573.0"/>
        <n v="524.0"/>
        <n v="474.0"/>
        <n v="268.0"/>
        <n v="455.0"/>
        <n v="64.0"/>
        <n v="261.0"/>
        <n v="660.0"/>
        <n v="368.0"/>
        <n v="350.0"/>
        <n v="99.0"/>
        <n v="214.0"/>
        <n v="574.0"/>
        <n v="218.0"/>
        <n v="506.0"/>
        <n v="424.0"/>
        <n v="454.0"/>
        <n v="373.0"/>
        <n v="530.0"/>
        <n v="328.0"/>
        <n v="526.0"/>
        <n v="354.0"/>
        <n v="449.0"/>
        <n v="408.0"/>
        <n v="312.0"/>
        <n v="543.0"/>
        <n v="333.0"/>
        <n v="381.0"/>
        <n v="498.0"/>
        <n v="432.0"/>
        <n v="448.0"/>
        <n v="152.0"/>
        <n v="552.0"/>
        <n v="172.0"/>
        <n v="250.0"/>
        <n v="409.0"/>
        <n v="583.0"/>
        <n v="369.0"/>
        <n v="379.0"/>
        <n v="492.0"/>
        <n v="473.0"/>
        <n v="603.0"/>
        <n v="80.0"/>
        <n v="327.0"/>
        <n v="653.0"/>
        <n v="263.0"/>
        <n v="377.0"/>
        <n v="453.0"/>
        <n v="227.0"/>
        <n v="154.0"/>
        <n v="232.0"/>
        <n v="107.0"/>
        <n v="649.0"/>
        <n v="714.0"/>
        <n v="271.0"/>
        <n v="284.0"/>
        <n v="499.0"/>
        <n v="174.0"/>
        <n v="516.0"/>
        <n v="96.0"/>
        <n v="545.0"/>
        <n v="540.0"/>
        <n v="318.0"/>
        <n v="388.0"/>
      </sharedItems>
    </cacheField>
    <cacheField name="retry" numFmtId="0">
      <sharedItems>
        <s v="N"/>
        <s v="Y"/>
      </sharedItems>
    </cacheField>
    <cacheField name="refund_time_min" numFmtId="0">
      <sharedItems containsString="0" containsBlank="1" containsNumber="1" containsInteger="1">
        <m/>
        <n v="11.0"/>
        <n v="36.0"/>
      </sharedItems>
    </cacheField>
    <cacheField name="dt" numFmtId="164">
      <sharedItems containsSemiMixedTypes="0" containsDate="1" containsString="0">
        <d v="2025-11-26T18:49:00Z"/>
        <d v="2025-11-27T19:05:00Z"/>
        <d v="2025-11-26T08:28:00Z"/>
        <d v="2025-11-28T21:22:00Z"/>
        <d v="2025-11-26T16:05:00Z"/>
        <d v="2025-11-27T01:40:00Z"/>
        <d v="2025-11-24T22:07:00Z"/>
        <d v="2025-11-26T11:48:00Z"/>
        <d v="2025-11-28T11:11:00Z"/>
        <d v="2025-11-27T20:13:00Z"/>
        <d v="2025-11-25T07:51:00Z"/>
        <d v="2025-11-28T19:47:00Z"/>
        <d v="2025-11-27T20:08:00Z"/>
        <d v="2025-11-26T19:49:00Z"/>
        <d v="2025-11-30T22:00:00Z"/>
        <d v="2025-11-25T07:01:00Z"/>
        <d v="2025-11-25T11:04:00Z"/>
        <d v="2025-11-30T10:09:00Z"/>
        <d v="2025-11-26T15:56:00Z"/>
        <d v="2025-11-25T18:57:00Z"/>
        <d v="2025-11-29T18:34:00Z"/>
        <d v="2025-11-24T23:22:00Z"/>
        <d v="2025-11-29T18:19:00Z"/>
        <d v="2025-11-27T20:02:00Z"/>
        <d v="2025-11-24T23:40:00Z"/>
        <d v="2025-11-30T20:31:00Z"/>
        <d v="2025-11-29T08:42:00Z"/>
        <d v="2025-11-27T06:22:00Z"/>
        <d v="2025-11-29T20:46:00Z"/>
        <d v="2025-11-28T15:20:00Z"/>
        <d v="2025-11-25T21:26:00Z"/>
        <d v="2025-11-26T20:24:00Z"/>
        <d v="2025-11-30T01:58:00Z"/>
        <d v="2025-11-28T22:21:00Z"/>
        <d v="2025-11-25T21:48:00Z"/>
        <d v="2025-11-25T22:39:00Z"/>
        <d v="2025-11-26T04:44:00Z"/>
        <d v="2025-11-30T22:36:00Z"/>
        <d v="2025-11-24T03:27:00Z"/>
        <d v="2025-11-29T17:30:00Z"/>
        <d v="2025-11-24T20:32:00Z"/>
        <d v="2025-11-24T03:30:00Z"/>
        <d v="2025-11-28T09:33:00Z"/>
        <d v="2025-11-28T21:25:00Z"/>
        <d v="2025-11-30T22:29:00Z"/>
        <d v="2025-11-28T18:57:00Z"/>
        <d v="2025-11-24T05:26:00Z"/>
        <d v="2025-11-29T19:33:00Z"/>
        <d v="2025-11-24T20:43:00Z"/>
        <d v="2025-11-26T18:05:00Z"/>
        <d v="2025-11-26T12:52:00Z"/>
        <d v="2025-11-25T22:13:00Z"/>
        <d v="2025-11-28T21:28:00Z"/>
        <d v="2025-11-30T00:26:00Z"/>
        <d v="2025-11-29T20:07:00Z"/>
        <d v="2025-11-30T01:07:00Z"/>
        <d v="2025-11-30T22:44:00Z"/>
        <d v="2025-11-25T18:47:00Z"/>
        <d v="2025-11-25T23:22:00Z"/>
        <d v="2025-11-26T19:48:00Z"/>
        <d v="2025-11-24T20:54:00Z"/>
        <d v="2025-11-30T19:31:00Z"/>
        <d v="2025-11-28T23:58:00Z"/>
        <d v="2025-11-27T19:50:00Z"/>
        <d v="2025-11-28T08:02:00Z"/>
        <d v="2025-11-29T11:01:00Z"/>
        <d v="2025-11-28T03:51:00Z"/>
        <d v="2025-11-28T23:42:00Z"/>
        <d v="2025-11-30T23:31:00Z"/>
        <d v="2025-11-25T18:52:00Z"/>
        <d v="2025-11-25T22:27:00Z"/>
        <d v="2025-11-27T20:39:00Z"/>
        <d v="2025-11-29T18:41:00Z"/>
        <d v="2025-11-25T22:29:00Z"/>
        <d v="2025-11-25T03:24:00Z"/>
        <d v="2025-11-29T18:39:00Z"/>
        <d v="2025-11-29T14:37:00Z"/>
        <d v="2025-11-28T06:32:00Z"/>
        <d v="2025-11-25T12:43:00Z"/>
        <d v="2025-11-24T05:54:00Z"/>
        <d v="2025-11-27T19:59:00Z"/>
        <d v="2025-11-28T21:42:00Z"/>
        <d v="2025-11-30T07:23:00Z"/>
        <d v="2025-11-24T21:00:00Z"/>
        <d v="2025-11-27T23:03:00Z"/>
        <d v="2025-11-27T04:30:00Z"/>
        <d v="2025-11-30T14:32:00Z"/>
        <d v="2025-11-30T19:59:00Z"/>
        <d v="2025-11-24T20:31:00Z"/>
        <d v="2025-11-30T18:19:00Z"/>
        <d v="2025-11-24T18:16:00Z"/>
        <d v="2025-11-24T11:49:00Z"/>
        <d v="2025-11-25T13:09:00Z"/>
        <d v="2025-11-30T23:18:00Z"/>
        <d v="2025-11-26T23:50:00Z"/>
        <d v="2025-11-25T07:44:00Z"/>
        <d v="2025-11-27T18:25:00Z"/>
        <d v="2025-11-29T22:06:00Z"/>
        <d v="2025-11-24T20:05:00Z"/>
        <d v="2025-11-25T20:27:00Z"/>
        <d v="2025-11-25T15:01:00Z"/>
        <d v="2025-11-30T13:14:00Z"/>
        <d v="2025-11-27T06:41:00Z"/>
        <d v="2025-11-29T18:49:00Z"/>
        <d v="2025-11-26T22:08:00Z"/>
        <d v="2025-11-29T23:17:00Z"/>
        <d v="2025-11-25T22:31:00Z"/>
        <d v="2025-11-25T19:55:00Z"/>
        <d v="2025-11-27T03:05:00Z"/>
        <d v="2025-11-28T19:51:00Z"/>
        <d v="2025-11-25T02:12:00Z"/>
        <d v="2025-11-28T13:34:00Z"/>
        <d v="2025-11-26T09:59:00Z"/>
        <d v="2025-11-30T07:14:00Z"/>
        <d v="2025-11-26T18:58:00Z"/>
        <d v="2025-11-27T21:16:00Z"/>
        <d v="2025-11-26T21:41:00Z"/>
        <d v="2025-11-24T20:30:00Z"/>
        <d v="2025-11-25T16:09:00Z"/>
        <d v="2025-11-26T19:11:00Z"/>
        <d v="2025-11-24T05:36:00Z"/>
        <d v="2025-11-30T11:11:00Z"/>
        <d v="2025-11-26T06:40:00Z"/>
        <d v="2025-11-29T22:08:00Z"/>
        <d v="2025-11-24T19:37:00Z"/>
        <d v="2025-11-29T01:20:00Z"/>
        <d v="2025-11-30T21:42:00Z"/>
        <d v="2025-11-28T07:22:00Z"/>
        <d v="2025-11-25T06:18:00Z"/>
        <d v="2025-11-25T21:17:00Z"/>
        <d v="2025-11-25T08:06:00Z"/>
        <d v="2025-11-26T20:59:00Z"/>
        <d v="2025-11-26T19:52:00Z"/>
        <d v="2025-11-28T05:56:00Z"/>
        <d v="2025-11-29T02:56:00Z"/>
        <d v="2025-11-27T19:29:00Z"/>
        <d v="2025-11-25T07:15:00Z"/>
        <d v="2025-11-25T21:19:00Z"/>
        <d v="2025-11-24T22:05:00Z"/>
        <d v="2025-11-27T21:15:00Z"/>
        <d v="2025-11-30T04:48:00Z"/>
        <d v="2025-11-30T23:46:00Z"/>
        <d v="2025-11-30T14:25:00Z"/>
        <d v="2025-11-30T22:27:00Z"/>
        <d v="2025-11-27T22:08:00Z"/>
        <d v="2025-11-24T23:36:00Z"/>
        <d v="2025-11-26T22:45:00Z"/>
        <d v="2025-11-26T11:29:00Z"/>
        <d v="2025-11-26T20:53:00Z"/>
        <d v="2025-11-24T02:46:00Z"/>
        <d v="2025-11-28T19:30:00Z"/>
        <d v="2025-11-27T17:59:00Z"/>
        <d v="2025-11-29T22:50:00Z"/>
        <d v="2025-11-30T13:30:00Z"/>
        <d v="2025-11-28T19:56:00Z"/>
        <d v="2025-11-29T21:31:00Z"/>
        <d v="2025-11-27T12:32:00Z"/>
        <d v="2025-11-30T00:08:00Z"/>
        <d v="2025-11-27T21:13:00Z"/>
        <d v="2025-11-27T05:59:00Z"/>
        <d v="2025-11-24T20:16:00Z"/>
        <d v="2025-11-30T22:10:00Z"/>
        <d v="2025-11-27T21:08:00Z"/>
        <d v="2025-11-30T21:31:00Z"/>
        <d v="2025-11-25T20:59:00Z"/>
        <d v="2025-11-29T02:19:00Z"/>
        <d v="2025-11-28T22:37:00Z"/>
        <d v="2025-11-25T20:50:00Z"/>
        <d v="2025-11-27T06:12:00Z"/>
        <d v="2025-11-26T14:24:00Z"/>
        <d v="2025-11-27T06:50:00Z"/>
        <d v="2025-11-26T20:29:00Z"/>
        <d v="2025-11-24T21:46:00Z"/>
        <d v="2025-11-26T20:28:00Z"/>
        <d v="2025-11-29T22:55:00Z"/>
        <d v="2025-11-27T22:24:00Z"/>
        <d v="2025-11-29T22:37:00Z"/>
        <d v="2025-11-30T02:37:00Z"/>
        <d v="2025-11-28T18:32:00Z"/>
        <d v="2025-11-28T17:47:00Z"/>
        <d v="2025-11-28T20:51:00Z"/>
        <d v="2025-11-27T21:58:00Z"/>
        <d v="2025-11-25T17:13:00Z"/>
        <d v="2025-11-30T20:41:00Z"/>
        <d v="2025-11-28T09:12:00Z"/>
        <d v="2025-11-27T07:44:00Z"/>
        <d v="2025-11-26T15:57:00Z"/>
        <d v="2025-11-27T19:13:00Z"/>
        <d v="2025-11-24T11:14:00Z"/>
        <d v="2025-11-30T18:16:00Z"/>
        <d v="2025-11-28T18:11:00Z"/>
        <d v="2025-11-29T19:38:00Z"/>
        <d v="2025-11-24T18:25:00Z"/>
        <d v="2025-11-29T04:24:00Z"/>
        <d v="2025-11-24T18:14:00Z"/>
        <d v="2025-11-26T17:39:00Z"/>
        <d v="2025-11-24T18:31:00Z"/>
        <d v="2025-11-26T21:48:00Z"/>
      </sharedItems>
    </cacheField>
    <cacheField name="hour" numFmtId="0">
      <sharedItems containsSemiMixedTypes="0" containsString="0" containsNumber="1" containsInteger="1">
        <n v="18.0"/>
        <n v="19.0"/>
        <n v="8.0"/>
        <n v="21.0"/>
        <n v="16.0"/>
        <n v="1.0"/>
        <n v="22.0"/>
        <n v="11.0"/>
        <n v="20.0"/>
        <n v="7.0"/>
        <n v="10.0"/>
        <n v="15.0"/>
        <n v="23.0"/>
        <n v="6.0"/>
        <n v="4.0"/>
        <n v="3.0"/>
        <n v="17.0"/>
        <n v="9.0"/>
        <n v="5.0"/>
        <n v="12.0"/>
        <n v="0.0"/>
        <n v="14.0"/>
        <n v="13.0"/>
        <n v="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7" firstHeaderRow="0" firstDataRow="2" firstDataCol="0"/>
  <pivotFields>
    <pivotField name="tx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bank" axis="axisRow" compact="0" outline="0" multipleItemSelectionAllowed="1" showAll="0" sortType="ascending">
      <items>
        <item x="1"/>
        <item x="2"/>
        <item x="0"/>
        <item x="3"/>
        <item x="4"/>
        <item t="default"/>
      </items>
    </pivotField>
    <pivotField name="upi_ap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failure_flag" dataField="1" compact="0" outline="0" multipleItemSelectionAllowed="1" showAll="0">
      <items>
        <item x="0"/>
        <item x="1"/>
        <item t="default"/>
      </items>
    </pivotField>
    <pivotField name="failure_reas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cessing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retry" compact="0" outline="0" multipleItemSelectionAllowed="1" showAll="0">
      <items>
        <item x="0"/>
        <item x="1"/>
        <item t="default"/>
      </items>
    </pivotField>
    <pivotField name="refund_time_min" compact="0" outline="0" multipleItemSelectionAllowed="1" showAll="0">
      <items>
        <item x="0"/>
        <item x="1"/>
        <item x="2"/>
        <item t="default"/>
      </items>
    </pivotField>
    <pivotField name="d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2"/>
  </rowFields>
  <colFields>
    <field x="-2"/>
  </colFields>
  <dataFields>
    <dataField name="COUNTA of txn_id" fld="0" subtotal="count" baseField="0"/>
    <dataField name="AVERAGE of failure_flag" fld="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8" width="19.14"/>
    <col customWidth="1" min="9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3">
        <v>1.76418294E9</v>
      </c>
      <c r="C2" s="3" t="s">
        <v>14</v>
      </c>
      <c r="D2" s="3" t="s">
        <v>15</v>
      </c>
      <c r="E2" s="3">
        <v>14.23</v>
      </c>
      <c r="F2" s="3" t="s">
        <v>16</v>
      </c>
      <c r="G2" s="3">
        <f t="shared" ref="G2:G201" si="1">IF(F2="FAILED",1,0)</f>
        <v>0</v>
      </c>
      <c r="I2" s="3">
        <v>380.0</v>
      </c>
      <c r="J2" s="3" t="s">
        <v>17</v>
      </c>
      <c r="L2" s="4">
        <v>45987.78402777778</v>
      </c>
      <c r="M2" s="3">
        <v>18.0</v>
      </c>
    </row>
    <row r="3">
      <c r="A3" s="3" t="s">
        <v>18</v>
      </c>
      <c r="B3" s="3">
        <v>1.7642703E9</v>
      </c>
      <c r="C3" s="3" t="s">
        <v>19</v>
      </c>
      <c r="D3" s="3" t="s">
        <v>15</v>
      </c>
      <c r="E3" s="3">
        <v>40.51</v>
      </c>
      <c r="F3" s="3" t="s">
        <v>16</v>
      </c>
      <c r="G3" s="3">
        <f t="shared" si="1"/>
        <v>0</v>
      </c>
      <c r="I3" s="3">
        <v>305.0</v>
      </c>
      <c r="J3" s="3" t="s">
        <v>17</v>
      </c>
      <c r="L3" s="4">
        <v>45988.79513888889</v>
      </c>
      <c r="M3" s="3">
        <v>19.0</v>
      </c>
    </row>
    <row r="4">
      <c r="A4" s="3" t="s">
        <v>20</v>
      </c>
      <c r="B4" s="3">
        <v>1.76414568E9</v>
      </c>
      <c r="C4" s="3" t="s">
        <v>21</v>
      </c>
      <c r="D4" s="3" t="s">
        <v>22</v>
      </c>
      <c r="E4" s="3">
        <v>18.2</v>
      </c>
      <c r="F4" s="3" t="s">
        <v>16</v>
      </c>
      <c r="G4" s="3">
        <f t="shared" si="1"/>
        <v>0</v>
      </c>
      <c r="I4" s="3">
        <v>355.0</v>
      </c>
      <c r="J4" s="3" t="s">
        <v>17</v>
      </c>
      <c r="L4" s="4">
        <v>45987.35277777778</v>
      </c>
      <c r="M4" s="3">
        <v>8.0</v>
      </c>
    </row>
    <row r="5">
      <c r="A5" s="3" t="s">
        <v>23</v>
      </c>
      <c r="B5" s="3">
        <v>1.76436492E9</v>
      </c>
      <c r="C5" s="3" t="s">
        <v>24</v>
      </c>
      <c r="D5" s="3" t="s">
        <v>22</v>
      </c>
      <c r="E5" s="3">
        <v>33.87</v>
      </c>
      <c r="F5" s="3" t="s">
        <v>16</v>
      </c>
      <c r="G5" s="3">
        <f t="shared" si="1"/>
        <v>0</v>
      </c>
      <c r="I5" s="3">
        <v>248.0</v>
      </c>
      <c r="J5" s="3" t="s">
        <v>17</v>
      </c>
      <c r="L5" s="4">
        <v>45989.89027777778</v>
      </c>
      <c r="M5" s="3">
        <v>21.0</v>
      </c>
    </row>
    <row r="6">
      <c r="A6" s="3" t="s">
        <v>25</v>
      </c>
      <c r="B6" s="3">
        <v>1.7641731E9</v>
      </c>
      <c r="C6" s="3" t="s">
        <v>19</v>
      </c>
      <c r="D6" s="3" t="s">
        <v>15</v>
      </c>
      <c r="E6" s="3">
        <v>19.44</v>
      </c>
      <c r="F6" s="3" t="s">
        <v>16</v>
      </c>
      <c r="G6" s="3">
        <f t="shared" si="1"/>
        <v>0</v>
      </c>
      <c r="I6" s="3">
        <v>259.0</v>
      </c>
      <c r="J6" s="3" t="s">
        <v>17</v>
      </c>
      <c r="L6" s="4">
        <v>45987.67013888889</v>
      </c>
      <c r="M6" s="3">
        <v>16.0</v>
      </c>
    </row>
    <row r="7">
      <c r="A7" s="3" t="s">
        <v>26</v>
      </c>
      <c r="B7" s="3">
        <v>1.7642076E9</v>
      </c>
      <c r="C7" s="3" t="s">
        <v>21</v>
      </c>
      <c r="D7" s="3" t="s">
        <v>27</v>
      </c>
      <c r="E7" s="3">
        <v>44.68</v>
      </c>
      <c r="F7" s="3" t="s">
        <v>28</v>
      </c>
      <c r="G7" s="3">
        <f t="shared" si="1"/>
        <v>1</v>
      </c>
      <c r="H7" s="3" t="s">
        <v>29</v>
      </c>
      <c r="I7" s="3">
        <v>259.0</v>
      </c>
      <c r="J7" s="3" t="s">
        <v>30</v>
      </c>
      <c r="L7" s="4">
        <v>45988.06944444445</v>
      </c>
      <c r="M7" s="3">
        <v>1.0</v>
      </c>
    </row>
    <row r="8">
      <c r="A8" s="3" t="s">
        <v>31</v>
      </c>
      <c r="B8" s="3">
        <v>1.76402202E9</v>
      </c>
      <c r="C8" s="3" t="s">
        <v>24</v>
      </c>
      <c r="D8" s="3" t="s">
        <v>32</v>
      </c>
      <c r="E8" s="3">
        <v>19.04</v>
      </c>
      <c r="F8" s="3" t="s">
        <v>16</v>
      </c>
      <c r="G8" s="3">
        <f t="shared" si="1"/>
        <v>0</v>
      </c>
      <c r="I8" s="3">
        <v>466.0</v>
      </c>
      <c r="J8" s="3" t="s">
        <v>17</v>
      </c>
      <c r="L8" s="4">
        <v>45985.92152777778</v>
      </c>
      <c r="M8" s="3">
        <v>22.0</v>
      </c>
    </row>
    <row r="9">
      <c r="A9" s="3" t="s">
        <v>33</v>
      </c>
      <c r="B9" s="3">
        <v>1.76415768E9</v>
      </c>
      <c r="C9" s="3" t="s">
        <v>21</v>
      </c>
      <c r="D9" s="3" t="s">
        <v>15</v>
      </c>
      <c r="E9" s="3">
        <v>37.99</v>
      </c>
      <c r="F9" s="3" t="s">
        <v>16</v>
      </c>
      <c r="G9" s="3">
        <f t="shared" si="1"/>
        <v>0</v>
      </c>
      <c r="I9" s="3">
        <v>457.0</v>
      </c>
      <c r="J9" s="3" t="s">
        <v>17</v>
      </c>
      <c r="L9" s="4">
        <v>45987.49166666667</v>
      </c>
      <c r="M9" s="3">
        <v>11.0</v>
      </c>
    </row>
    <row r="10">
      <c r="A10" s="3" t="s">
        <v>34</v>
      </c>
      <c r="B10" s="3">
        <v>1.76432826E9</v>
      </c>
      <c r="C10" s="3" t="s">
        <v>19</v>
      </c>
      <c r="D10" s="3" t="s">
        <v>35</v>
      </c>
      <c r="E10" s="3">
        <v>24.41</v>
      </c>
      <c r="F10" s="3" t="s">
        <v>16</v>
      </c>
      <c r="G10" s="3">
        <f t="shared" si="1"/>
        <v>0</v>
      </c>
      <c r="I10" s="3">
        <v>418.0</v>
      </c>
      <c r="J10" s="3" t="s">
        <v>17</v>
      </c>
      <c r="L10" s="4">
        <v>45989.46597222222</v>
      </c>
      <c r="M10" s="3">
        <v>11.0</v>
      </c>
    </row>
    <row r="11">
      <c r="A11" s="3" t="s">
        <v>36</v>
      </c>
      <c r="B11" s="3">
        <v>1.76427438E9</v>
      </c>
      <c r="C11" s="3" t="s">
        <v>37</v>
      </c>
      <c r="D11" s="3" t="s">
        <v>15</v>
      </c>
      <c r="E11" s="3">
        <v>50.73</v>
      </c>
      <c r="F11" s="3" t="s">
        <v>28</v>
      </c>
      <c r="G11" s="3">
        <f t="shared" si="1"/>
        <v>1</v>
      </c>
      <c r="H11" s="3" t="s">
        <v>38</v>
      </c>
      <c r="I11" s="3">
        <v>483.0</v>
      </c>
      <c r="J11" s="3" t="s">
        <v>17</v>
      </c>
      <c r="L11" s="4">
        <v>45988.84236111111</v>
      </c>
      <c r="M11" s="3">
        <v>20.0</v>
      </c>
    </row>
    <row r="12">
      <c r="A12" s="3" t="s">
        <v>39</v>
      </c>
      <c r="B12" s="3">
        <v>1.76405706E9</v>
      </c>
      <c r="C12" s="3" t="s">
        <v>21</v>
      </c>
      <c r="D12" s="3" t="s">
        <v>35</v>
      </c>
      <c r="E12" s="3">
        <v>43.17</v>
      </c>
      <c r="F12" s="3" t="s">
        <v>16</v>
      </c>
      <c r="G12" s="3">
        <f t="shared" si="1"/>
        <v>0</v>
      </c>
      <c r="I12" s="3">
        <v>601.0</v>
      </c>
      <c r="J12" s="3" t="s">
        <v>17</v>
      </c>
      <c r="L12" s="4">
        <v>45986.32708333333</v>
      </c>
      <c r="M12" s="3">
        <v>7.0</v>
      </c>
    </row>
    <row r="13">
      <c r="A13" s="3" t="s">
        <v>40</v>
      </c>
      <c r="B13" s="3">
        <v>1.76435922E9</v>
      </c>
      <c r="C13" s="3" t="s">
        <v>37</v>
      </c>
      <c r="D13" s="3" t="s">
        <v>27</v>
      </c>
      <c r="E13" s="3">
        <v>41.56</v>
      </c>
      <c r="F13" s="3" t="s">
        <v>28</v>
      </c>
      <c r="G13" s="3">
        <f t="shared" si="1"/>
        <v>1</v>
      </c>
      <c r="H13" s="3" t="s">
        <v>41</v>
      </c>
      <c r="I13" s="3">
        <v>197.0</v>
      </c>
      <c r="J13" s="3" t="s">
        <v>17</v>
      </c>
      <c r="L13" s="4">
        <v>45989.82430555556</v>
      </c>
      <c r="M13" s="3">
        <v>19.0</v>
      </c>
    </row>
    <row r="14">
      <c r="A14" s="3" t="s">
        <v>42</v>
      </c>
      <c r="B14" s="3">
        <v>1.76427408E9</v>
      </c>
      <c r="C14" s="3" t="s">
        <v>21</v>
      </c>
      <c r="D14" s="3" t="s">
        <v>35</v>
      </c>
      <c r="E14" s="3">
        <v>18.66</v>
      </c>
      <c r="F14" s="3" t="s">
        <v>16</v>
      </c>
      <c r="G14" s="3">
        <f t="shared" si="1"/>
        <v>0</v>
      </c>
      <c r="I14" s="3">
        <v>294.0</v>
      </c>
      <c r="J14" s="3" t="s">
        <v>17</v>
      </c>
      <c r="L14" s="4">
        <v>45988.83888888889</v>
      </c>
      <c r="M14" s="3">
        <v>20.0</v>
      </c>
    </row>
    <row r="15">
      <c r="A15" s="3" t="s">
        <v>43</v>
      </c>
      <c r="B15" s="3">
        <v>1.76418654E9</v>
      </c>
      <c r="C15" s="3" t="s">
        <v>24</v>
      </c>
      <c r="D15" s="3" t="s">
        <v>35</v>
      </c>
      <c r="E15" s="3">
        <v>45.3</v>
      </c>
      <c r="F15" s="3" t="s">
        <v>16</v>
      </c>
      <c r="G15" s="3">
        <f t="shared" si="1"/>
        <v>0</v>
      </c>
      <c r="I15" s="3">
        <v>457.0</v>
      </c>
      <c r="J15" s="3" t="s">
        <v>17</v>
      </c>
      <c r="L15" s="4">
        <v>45987.82569444444</v>
      </c>
      <c r="M15" s="3">
        <v>19.0</v>
      </c>
    </row>
    <row r="16">
      <c r="A16" s="3" t="s">
        <v>44</v>
      </c>
      <c r="B16" s="3">
        <v>1.76454E9</v>
      </c>
      <c r="C16" s="3" t="s">
        <v>24</v>
      </c>
      <c r="D16" s="3" t="s">
        <v>22</v>
      </c>
      <c r="E16" s="3">
        <v>19.79</v>
      </c>
      <c r="F16" s="3" t="s">
        <v>16</v>
      </c>
      <c r="G16" s="3">
        <f t="shared" si="1"/>
        <v>0</v>
      </c>
      <c r="I16" s="3">
        <v>169.0</v>
      </c>
      <c r="J16" s="3" t="s">
        <v>17</v>
      </c>
      <c r="L16" s="4">
        <v>45991.91666666666</v>
      </c>
      <c r="M16" s="3">
        <v>22.0</v>
      </c>
    </row>
    <row r="17">
      <c r="A17" s="3" t="s">
        <v>45</v>
      </c>
      <c r="B17" s="3">
        <v>1.76405406E9</v>
      </c>
      <c r="C17" s="3" t="s">
        <v>21</v>
      </c>
      <c r="D17" s="3" t="s">
        <v>35</v>
      </c>
      <c r="E17" s="3">
        <v>48.65</v>
      </c>
      <c r="F17" s="3" t="s">
        <v>16</v>
      </c>
      <c r="G17" s="3">
        <f t="shared" si="1"/>
        <v>0</v>
      </c>
      <c r="I17" s="3">
        <v>564.0</v>
      </c>
      <c r="J17" s="3" t="s">
        <v>17</v>
      </c>
      <c r="L17" s="4">
        <v>45986.29236111111</v>
      </c>
      <c r="M17" s="3">
        <v>7.0</v>
      </c>
    </row>
    <row r="18">
      <c r="A18" s="3" t="s">
        <v>46</v>
      </c>
      <c r="B18" s="3">
        <v>1.76406864E9</v>
      </c>
      <c r="C18" s="3" t="s">
        <v>14</v>
      </c>
      <c r="D18" s="3" t="s">
        <v>35</v>
      </c>
      <c r="E18" s="3">
        <v>26.06</v>
      </c>
      <c r="F18" s="3" t="s">
        <v>16</v>
      </c>
      <c r="G18" s="3">
        <f t="shared" si="1"/>
        <v>0</v>
      </c>
      <c r="I18" s="3">
        <v>511.0</v>
      </c>
      <c r="J18" s="3" t="s">
        <v>17</v>
      </c>
      <c r="L18" s="4">
        <v>45986.46111111111</v>
      </c>
      <c r="M18" s="3">
        <v>11.0</v>
      </c>
    </row>
    <row r="19">
      <c r="A19" s="3" t="s">
        <v>47</v>
      </c>
      <c r="B19" s="3">
        <v>1.76449734E9</v>
      </c>
      <c r="C19" s="3" t="s">
        <v>21</v>
      </c>
      <c r="D19" s="3" t="s">
        <v>22</v>
      </c>
      <c r="E19" s="3">
        <v>40.29</v>
      </c>
      <c r="F19" s="3" t="s">
        <v>16</v>
      </c>
      <c r="G19" s="3">
        <f t="shared" si="1"/>
        <v>0</v>
      </c>
      <c r="I19" s="3">
        <v>429.0</v>
      </c>
      <c r="J19" s="3" t="s">
        <v>17</v>
      </c>
      <c r="L19" s="4">
        <v>45991.42291666667</v>
      </c>
      <c r="M19" s="3">
        <v>10.0</v>
      </c>
    </row>
    <row r="20">
      <c r="A20" s="3" t="s">
        <v>48</v>
      </c>
      <c r="B20" s="3">
        <v>1.76417256E9</v>
      </c>
      <c r="C20" s="3" t="s">
        <v>14</v>
      </c>
      <c r="D20" s="3" t="s">
        <v>32</v>
      </c>
      <c r="E20" s="3">
        <v>49.82</v>
      </c>
      <c r="F20" s="3" t="s">
        <v>16</v>
      </c>
      <c r="G20" s="3">
        <f t="shared" si="1"/>
        <v>0</v>
      </c>
      <c r="I20" s="3">
        <v>468.0</v>
      </c>
      <c r="J20" s="3" t="s">
        <v>17</v>
      </c>
      <c r="L20" s="4">
        <v>45987.66388888889</v>
      </c>
      <c r="M20" s="3">
        <v>15.0</v>
      </c>
    </row>
    <row r="21" ht="15.75" customHeight="1">
      <c r="A21" s="3" t="s">
        <v>49</v>
      </c>
      <c r="B21" s="3">
        <v>1.76409702E9</v>
      </c>
      <c r="C21" s="3" t="s">
        <v>14</v>
      </c>
      <c r="D21" s="3" t="s">
        <v>15</v>
      </c>
      <c r="E21" s="3">
        <v>39.96</v>
      </c>
      <c r="F21" s="3" t="s">
        <v>16</v>
      </c>
      <c r="G21" s="3">
        <f t="shared" si="1"/>
        <v>0</v>
      </c>
      <c r="I21" s="3">
        <v>550.0</v>
      </c>
      <c r="J21" s="3" t="s">
        <v>17</v>
      </c>
      <c r="L21" s="4">
        <v>45986.78958333333</v>
      </c>
      <c r="M21" s="3">
        <v>18.0</v>
      </c>
    </row>
    <row r="22" ht="15.75" customHeight="1">
      <c r="A22" s="3" t="s">
        <v>50</v>
      </c>
      <c r="B22" s="3">
        <v>1.76444124E9</v>
      </c>
      <c r="C22" s="3" t="s">
        <v>19</v>
      </c>
      <c r="D22" s="3" t="s">
        <v>35</v>
      </c>
      <c r="E22" s="3">
        <v>50.8</v>
      </c>
      <c r="F22" s="3" t="s">
        <v>16</v>
      </c>
      <c r="G22" s="3">
        <f t="shared" si="1"/>
        <v>0</v>
      </c>
      <c r="I22" s="3">
        <v>340.0</v>
      </c>
      <c r="J22" s="3" t="s">
        <v>17</v>
      </c>
      <c r="L22" s="4">
        <v>45990.77361111111</v>
      </c>
      <c r="M22" s="3">
        <v>18.0</v>
      </c>
    </row>
    <row r="23" ht="15.75" customHeight="1">
      <c r="A23" s="3" t="s">
        <v>51</v>
      </c>
      <c r="B23" s="3">
        <v>1.76402652E9</v>
      </c>
      <c r="C23" s="3" t="s">
        <v>37</v>
      </c>
      <c r="D23" s="3" t="s">
        <v>35</v>
      </c>
      <c r="E23" s="3">
        <v>33.04</v>
      </c>
      <c r="F23" s="3" t="s">
        <v>16</v>
      </c>
      <c r="G23" s="3">
        <f t="shared" si="1"/>
        <v>0</v>
      </c>
      <c r="I23" s="3">
        <v>314.0</v>
      </c>
      <c r="J23" s="3" t="s">
        <v>17</v>
      </c>
      <c r="L23" s="4">
        <v>45985.97361111111</v>
      </c>
      <c r="M23" s="3">
        <v>23.0</v>
      </c>
    </row>
    <row r="24" ht="15.75" customHeight="1">
      <c r="A24" s="3" t="s">
        <v>52</v>
      </c>
      <c r="B24" s="3">
        <v>1.76444034E9</v>
      </c>
      <c r="C24" s="3" t="s">
        <v>14</v>
      </c>
      <c r="D24" s="3" t="s">
        <v>35</v>
      </c>
      <c r="E24" s="3">
        <v>28.76</v>
      </c>
      <c r="F24" s="3" t="s">
        <v>16</v>
      </c>
      <c r="G24" s="3">
        <f t="shared" si="1"/>
        <v>0</v>
      </c>
      <c r="I24" s="3">
        <v>374.0</v>
      </c>
      <c r="J24" s="3" t="s">
        <v>17</v>
      </c>
      <c r="L24" s="4">
        <v>45990.76319444444</v>
      </c>
      <c r="M24" s="3">
        <v>18.0</v>
      </c>
    </row>
    <row r="25" ht="15.75" customHeight="1">
      <c r="A25" s="3" t="s">
        <v>53</v>
      </c>
      <c r="B25" s="3">
        <v>1.76427372E9</v>
      </c>
      <c r="C25" s="3" t="s">
        <v>37</v>
      </c>
      <c r="D25" s="3" t="s">
        <v>27</v>
      </c>
      <c r="E25" s="3">
        <v>38.58</v>
      </c>
      <c r="F25" s="3" t="s">
        <v>16</v>
      </c>
      <c r="G25" s="3">
        <f t="shared" si="1"/>
        <v>0</v>
      </c>
      <c r="I25" s="3">
        <v>186.0</v>
      </c>
      <c r="J25" s="3" t="s">
        <v>17</v>
      </c>
      <c r="L25" s="4">
        <v>45988.83472222222</v>
      </c>
      <c r="M25" s="3">
        <v>20.0</v>
      </c>
    </row>
    <row r="26" ht="15.75" customHeight="1">
      <c r="A26" s="3" t="s">
        <v>54</v>
      </c>
      <c r="B26" s="3">
        <v>1.7640276E9</v>
      </c>
      <c r="C26" s="3" t="s">
        <v>21</v>
      </c>
      <c r="D26" s="3" t="s">
        <v>27</v>
      </c>
      <c r="E26" s="3">
        <v>37.45</v>
      </c>
      <c r="F26" s="3" t="s">
        <v>28</v>
      </c>
      <c r="G26" s="3">
        <f t="shared" si="1"/>
        <v>1</v>
      </c>
      <c r="H26" s="3" t="s">
        <v>55</v>
      </c>
      <c r="I26" s="3">
        <v>272.0</v>
      </c>
      <c r="J26" s="3" t="s">
        <v>17</v>
      </c>
      <c r="K26" s="3">
        <v>11.0</v>
      </c>
      <c r="L26" s="4">
        <v>45985.98611111111</v>
      </c>
      <c r="M26" s="3">
        <v>23.0</v>
      </c>
    </row>
    <row r="27" ht="15.75" customHeight="1">
      <c r="A27" s="3" t="s">
        <v>56</v>
      </c>
      <c r="B27" s="3">
        <v>1.76453466E9</v>
      </c>
      <c r="C27" s="3" t="s">
        <v>37</v>
      </c>
      <c r="D27" s="3" t="s">
        <v>32</v>
      </c>
      <c r="E27" s="3">
        <v>23.38</v>
      </c>
      <c r="F27" s="3" t="s">
        <v>16</v>
      </c>
      <c r="G27" s="3">
        <f t="shared" si="1"/>
        <v>0</v>
      </c>
      <c r="I27" s="3">
        <v>343.0</v>
      </c>
      <c r="J27" s="3" t="s">
        <v>17</v>
      </c>
      <c r="L27" s="4">
        <v>45991.85486111111</v>
      </c>
      <c r="M27" s="3">
        <v>20.0</v>
      </c>
    </row>
    <row r="28" ht="15.75" customHeight="1">
      <c r="A28" s="3" t="s">
        <v>57</v>
      </c>
      <c r="B28" s="3">
        <v>1.76440572E9</v>
      </c>
      <c r="C28" s="3" t="s">
        <v>37</v>
      </c>
      <c r="D28" s="3" t="s">
        <v>32</v>
      </c>
      <c r="E28" s="3">
        <v>49.14</v>
      </c>
      <c r="F28" s="3" t="s">
        <v>16</v>
      </c>
      <c r="G28" s="3">
        <f t="shared" si="1"/>
        <v>0</v>
      </c>
      <c r="I28" s="3">
        <v>215.0</v>
      </c>
      <c r="J28" s="3" t="s">
        <v>17</v>
      </c>
      <c r="L28" s="4">
        <v>45990.3625</v>
      </c>
      <c r="M28" s="3">
        <v>8.0</v>
      </c>
    </row>
    <row r="29" ht="15.75" customHeight="1">
      <c r="A29" s="3" t="s">
        <v>58</v>
      </c>
      <c r="B29" s="3">
        <v>1.76422452E9</v>
      </c>
      <c r="C29" s="3" t="s">
        <v>24</v>
      </c>
      <c r="D29" s="3" t="s">
        <v>32</v>
      </c>
      <c r="E29" s="3">
        <v>29.94</v>
      </c>
      <c r="F29" s="3" t="s">
        <v>16</v>
      </c>
      <c r="G29" s="3">
        <f t="shared" si="1"/>
        <v>0</v>
      </c>
      <c r="I29" s="3">
        <v>40.0</v>
      </c>
      <c r="J29" s="3" t="s">
        <v>17</v>
      </c>
      <c r="L29" s="4">
        <v>45988.26527777778</v>
      </c>
      <c r="M29" s="3">
        <v>6.0</v>
      </c>
    </row>
    <row r="30" ht="15.75" customHeight="1">
      <c r="A30" s="3" t="s">
        <v>59</v>
      </c>
      <c r="B30" s="3">
        <v>1.76444916E9</v>
      </c>
      <c r="C30" s="3" t="s">
        <v>37</v>
      </c>
      <c r="D30" s="3" t="s">
        <v>35</v>
      </c>
      <c r="E30" s="3">
        <v>34.7</v>
      </c>
      <c r="F30" s="3" t="s">
        <v>16</v>
      </c>
      <c r="G30" s="3">
        <f t="shared" si="1"/>
        <v>0</v>
      </c>
      <c r="I30" s="3">
        <v>231.0</v>
      </c>
      <c r="J30" s="3" t="s">
        <v>17</v>
      </c>
      <c r="L30" s="4">
        <v>45990.86527777778</v>
      </c>
      <c r="M30" s="3">
        <v>20.0</v>
      </c>
    </row>
    <row r="31" ht="15.75" customHeight="1">
      <c r="A31" s="3" t="s">
        <v>60</v>
      </c>
      <c r="B31" s="3">
        <v>1.7643432E9</v>
      </c>
      <c r="C31" s="3" t="s">
        <v>14</v>
      </c>
      <c r="D31" s="3" t="s">
        <v>22</v>
      </c>
      <c r="E31" s="3">
        <v>47.43</v>
      </c>
      <c r="F31" s="3" t="s">
        <v>16</v>
      </c>
      <c r="G31" s="3">
        <f t="shared" si="1"/>
        <v>0</v>
      </c>
      <c r="I31" s="3">
        <v>159.0</v>
      </c>
      <c r="J31" s="3" t="s">
        <v>17</v>
      </c>
      <c r="L31" s="4">
        <v>45989.63888888889</v>
      </c>
      <c r="M31" s="3">
        <v>15.0</v>
      </c>
    </row>
    <row r="32" ht="15.75" customHeight="1">
      <c r="A32" s="3" t="s">
        <v>61</v>
      </c>
      <c r="B32" s="3">
        <v>1.76410596E9</v>
      </c>
      <c r="C32" s="3" t="s">
        <v>24</v>
      </c>
      <c r="D32" s="3" t="s">
        <v>22</v>
      </c>
      <c r="E32" s="3">
        <v>48.99</v>
      </c>
      <c r="F32" s="3" t="s">
        <v>16</v>
      </c>
      <c r="G32" s="3">
        <f t="shared" si="1"/>
        <v>0</v>
      </c>
      <c r="I32" s="3">
        <v>500.0</v>
      </c>
      <c r="J32" s="3" t="s">
        <v>17</v>
      </c>
      <c r="L32" s="4">
        <v>45986.89305555556</v>
      </c>
      <c r="M32" s="3">
        <v>21.0</v>
      </c>
    </row>
    <row r="33" ht="15.75" customHeight="1">
      <c r="A33" s="3" t="s">
        <v>62</v>
      </c>
      <c r="B33" s="3">
        <v>1.76418864E9</v>
      </c>
      <c r="C33" s="3" t="s">
        <v>24</v>
      </c>
      <c r="D33" s="3" t="s">
        <v>35</v>
      </c>
      <c r="E33" s="3">
        <v>29.07</v>
      </c>
      <c r="F33" s="3" t="s">
        <v>28</v>
      </c>
      <c r="G33" s="3">
        <f t="shared" si="1"/>
        <v>1</v>
      </c>
      <c r="H33" s="3" t="s">
        <v>29</v>
      </c>
      <c r="I33" s="3">
        <v>405.0</v>
      </c>
      <c r="J33" s="3" t="s">
        <v>17</v>
      </c>
      <c r="L33" s="4">
        <v>45987.85</v>
      </c>
      <c r="M33" s="3">
        <v>20.0</v>
      </c>
    </row>
    <row r="34" ht="15.75" customHeight="1">
      <c r="A34" s="3" t="s">
        <v>63</v>
      </c>
      <c r="B34" s="3">
        <v>1.76446788E9</v>
      </c>
      <c r="C34" s="3" t="s">
        <v>21</v>
      </c>
      <c r="D34" s="3" t="s">
        <v>27</v>
      </c>
      <c r="E34" s="3">
        <v>17.73</v>
      </c>
      <c r="F34" s="3" t="s">
        <v>16</v>
      </c>
      <c r="G34" s="3">
        <f t="shared" si="1"/>
        <v>0</v>
      </c>
      <c r="I34" s="3">
        <v>423.0</v>
      </c>
      <c r="J34" s="3" t="s">
        <v>17</v>
      </c>
      <c r="L34" s="4">
        <v>45991.08194444444</v>
      </c>
      <c r="M34" s="3">
        <v>1.0</v>
      </c>
    </row>
    <row r="35" ht="15.75" customHeight="1">
      <c r="A35" s="3" t="s">
        <v>64</v>
      </c>
      <c r="B35" s="3">
        <v>1.76436846E9</v>
      </c>
      <c r="C35" s="3" t="s">
        <v>37</v>
      </c>
      <c r="D35" s="3" t="s">
        <v>27</v>
      </c>
      <c r="E35" s="3">
        <v>24.61</v>
      </c>
      <c r="F35" s="3" t="s">
        <v>16</v>
      </c>
      <c r="G35" s="3">
        <f t="shared" si="1"/>
        <v>0</v>
      </c>
      <c r="I35" s="3">
        <v>496.0</v>
      </c>
      <c r="J35" s="3" t="s">
        <v>17</v>
      </c>
      <c r="L35" s="4">
        <v>45989.93125</v>
      </c>
      <c r="M35" s="3">
        <v>22.0</v>
      </c>
    </row>
    <row r="36" ht="15.75" customHeight="1">
      <c r="A36" s="3" t="s">
        <v>65</v>
      </c>
      <c r="B36" s="3">
        <v>1.76410728E9</v>
      </c>
      <c r="C36" s="3" t="s">
        <v>37</v>
      </c>
      <c r="D36" s="3" t="s">
        <v>32</v>
      </c>
      <c r="E36" s="3">
        <v>21.44</v>
      </c>
      <c r="F36" s="3" t="s">
        <v>28</v>
      </c>
      <c r="G36" s="3">
        <f t="shared" si="1"/>
        <v>1</v>
      </c>
      <c r="H36" s="3" t="s">
        <v>66</v>
      </c>
      <c r="I36" s="3">
        <v>365.0</v>
      </c>
      <c r="J36" s="3" t="s">
        <v>17</v>
      </c>
      <c r="L36" s="4">
        <v>45986.90833333333</v>
      </c>
      <c r="M36" s="3">
        <v>21.0</v>
      </c>
    </row>
    <row r="37" ht="15.75" customHeight="1">
      <c r="A37" s="3" t="s">
        <v>67</v>
      </c>
      <c r="B37" s="3">
        <v>1.76411034E9</v>
      </c>
      <c r="C37" s="3" t="s">
        <v>19</v>
      </c>
      <c r="D37" s="3" t="s">
        <v>32</v>
      </c>
      <c r="E37" s="3">
        <v>38.65</v>
      </c>
      <c r="F37" s="3" t="s">
        <v>16</v>
      </c>
      <c r="G37" s="3">
        <f t="shared" si="1"/>
        <v>0</v>
      </c>
      <c r="I37" s="3">
        <v>519.0</v>
      </c>
      <c r="J37" s="3" t="s">
        <v>17</v>
      </c>
      <c r="L37" s="4">
        <v>45986.94375</v>
      </c>
      <c r="M37" s="3">
        <v>22.0</v>
      </c>
    </row>
    <row r="38" ht="15.75" customHeight="1">
      <c r="A38" s="3" t="s">
        <v>68</v>
      </c>
      <c r="B38" s="3">
        <v>1.76413224E9</v>
      </c>
      <c r="C38" s="3" t="s">
        <v>37</v>
      </c>
      <c r="D38" s="3" t="s">
        <v>35</v>
      </c>
      <c r="E38" s="3">
        <v>15.43</v>
      </c>
      <c r="F38" s="3" t="s">
        <v>28</v>
      </c>
      <c r="G38" s="3">
        <f t="shared" si="1"/>
        <v>1</v>
      </c>
      <c r="H38" s="3" t="s">
        <v>38</v>
      </c>
      <c r="I38" s="3">
        <v>236.0</v>
      </c>
      <c r="J38" s="3" t="s">
        <v>30</v>
      </c>
      <c r="L38" s="4">
        <v>45987.19722222222</v>
      </c>
      <c r="M38" s="3">
        <v>4.0</v>
      </c>
    </row>
    <row r="39" ht="15.75" customHeight="1">
      <c r="A39" s="3" t="s">
        <v>69</v>
      </c>
      <c r="B39" s="3">
        <v>1.76454216E9</v>
      </c>
      <c r="C39" s="3" t="s">
        <v>19</v>
      </c>
      <c r="D39" s="3" t="s">
        <v>15</v>
      </c>
      <c r="E39" s="3">
        <v>33.75</v>
      </c>
      <c r="F39" s="3" t="s">
        <v>16</v>
      </c>
      <c r="G39" s="3">
        <f t="shared" si="1"/>
        <v>0</v>
      </c>
      <c r="I39" s="3">
        <v>285.0</v>
      </c>
      <c r="J39" s="3" t="s">
        <v>17</v>
      </c>
      <c r="L39" s="4">
        <v>45991.94166666667</v>
      </c>
      <c r="M39" s="3">
        <v>22.0</v>
      </c>
    </row>
    <row r="40" ht="15.75" customHeight="1">
      <c r="A40" s="3" t="s">
        <v>70</v>
      </c>
      <c r="B40" s="3">
        <v>1.76395482E9</v>
      </c>
      <c r="C40" s="3" t="s">
        <v>21</v>
      </c>
      <c r="D40" s="3" t="s">
        <v>15</v>
      </c>
      <c r="E40" s="3">
        <v>10.72</v>
      </c>
      <c r="F40" s="3" t="s">
        <v>16</v>
      </c>
      <c r="G40" s="3">
        <f t="shared" si="1"/>
        <v>0</v>
      </c>
      <c r="I40" s="3">
        <v>248.0</v>
      </c>
      <c r="J40" s="3" t="s">
        <v>17</v>
      </c>
      <c r="L40" s="4">
        <v>45985.14375</v>
      </c>
      <c r="M40" s="3">
        <v>3.0</v>
      </c>
    </row>
    <row r="41" ht="15.75" customHeight="1">
      <c r="A41" s="3" t="s">
        <v>71</v>
      </c>
      <c r="B41" s="3">
        <v>1.7644374E9</v>
      </c>
      <c r="C41" s="3" t="s">
        <v>21</v>
      </c>
      <c r="D41" s="3" t="s">
        <v>35</v>
      </c>
      <c r="E41" s="3">
        <v>30.08</v>
      </c>
      <c r="F41" s="3" t="s">
        <v>16</v>
      </c>
      <c r="G41" s="3">
        <f t="shared" si="1"/>
        <v>0</v>
      </c>
      <c r="I41" s="3">
        <v>514.0</v>
      </c>
      <c r="J41" s="3" t="s">
        <v>17</v>
      </c>
      <c r="L41" s="4">
        <v>45990.72916666666</v>
      </c>
      <c r="M41" s="3">
        <v>17.0</v>
      </c>
    </row>
    <row r="42" ht="15.75" customHeight="1">
      <c r="A42" s="3" t="s">
        <v>72</v>
      </c>
      <c r="B42" s="3">
        <v>1.76401632E9</v>
      </c>
      <c r="C42" s="3" t="s">
        <v>24</v>
      </c>
      <c r="D42" s="3" t="s">
        <v>27</v>
      </c>
      <c r="E42" s="3">
        <v>49.42</v>
      </c>
      <c r="F42" s="3" t="s">
        <v>16</v>
      </c>
      <c r="G42" s="3">
        <f t="shared" si="1"/>
        <v>0</v>
      </c>
      <c r="I42" s="3">
        <v>156.0</v>
      </c>
      <c r="J42" s="3" t="s">
        <v>17</v>
      </c>
      <c r="L42" s="4">
        <v>45985.85555555556</v>
      </c>
      <c r="M42" s="3">
        <v>20.0</v>
      </c>
    </row>
    <row r="43" ht="15.75" customHeight="1">
      <c r="A43" s="3" t="s">
        <v>73</v>
      </c>
      <c r="B43" s="3">
        <v>1.763955E9</v>
      </c>
      <c r="C43" s="3" t="s">
        <v>19</v>
      </c>
      <c r="D43" s="3" t="s">
        <v>22</v>
      </c>
      <c r="E43" s="3">
        <v>40.69</v>
      </c>
      <c r="F43" s="3" t="s">
        <v>16</v>
      </c>
      <c r="G43" s="3">
        <f t="shared" si="1"/>
        <v>0</v>
      </c>
      <c r="I43" s="3">
        <v>224.0</v>
      </c>
      <c r="J43" s="3" t="s">
        <v>17</v>
      </c>
      <c r="L43" s="4">
        <v>45985.14583333334</v>
      </c>
      <c r="M43" s="3">
        <v>3.0</v>
      </c>
    </row>
    <row r="44" ht="15.75" customHeight="1">
      <c r="A44" s="3" t="s">
        <v>74</v>
      </c>
      <c r="B44" s="3">
        <v>1.76432238E9</v>
      </c>
      <c r="C44" s="3" t="s">
        <v>37</v>
      </c>
      <c r="D44" s="3" t="s">
        <v>32</v>
      </c>
      <c r="E44" s="3">
        <v>46.97</v>
      </c>
      <c r="F44" s="3" t="s">
        <v>16</v>
      </c>
      <c r="G44" s="3">
        <f t="shared" si="1"/>
        <v>0</v>
      </c>
      <c r="I44" s="3">
        <v>242.0</v>
      </c>
      <c r="J44" s="3" t="s">
        <v>17</v>
      </c>
      <c r="L44" s="4">
        <v>45989.39791666667</v>
      </c>
      <c r="M44" s="3">
        <v>9.0</v>
      </c>
    </row>
    <row r="45" ht="15.75" customHeight="1">
      <c r="A45" s="3" t="s">
        <v>75</v>
      </c>
      <c r="B45" s="3">
        <v>1.7643651E9</v>
      </c>
      <c r="C45" s="3" t="s">
        <v>14</v>
      </c>
      <c r="D45" s="3" t="s">
        <v>32</v>
      </c>
      <c r="E45" s="3">
        <v>29.04</v>
      </c>
      <c r="F45" s="3" t="s">
        <v>16</v>
      </c>
      <c r="G45" s="3">
        <f t="shared" si="1"/>
        <v>0</v>
      </c>
      <c r="I45" s="3">
        <v>459.0</v>
      </c>
      <c r="J45" s="3" t="s">
        <v>17</v>
      </c>
      <c r="L45" s="4">
        <v>45989.89236111111</v>
      </c>
      <c r="M45" s="3">
        <v>21.0</v>
      </c>
    </row>
    <row r="46" ht="15.75" customHeight="1">
      <c r="A46" s="3" t="s">
        <v>76</v>
      </c>
      <c r="B46" s="3">
        <v>1.76454174E9</v>
      </c>
      <c r="C46" s="3" t="s">
        <v>24</v>
      </c>
      <c r="D46" s="3" t="s">
        <v>22</v>
      </c>
      <c r="E46" s="3">
        <v>18.52</v>
      </c>
      <c r="F46" s="3" t="s">
        <v>16</v>
      </c>
      <c r="G46" s="3">
        <f t="shared" si="1"/>
        <v>0</v>
      </c>
      <c r="I46" s="3">
        <v>521.0</v>
      </c>
      <c r="J46" s="3" t="s">
        <v>17</v>
      </c>
      <c r="L46" s="4">
        <v>45991.93680555555</v>
      </c>
      <c r="M46" s="3">
        <v>22.0</v>
      </c>
    </row>
    <row r="47" ht="15.75" customHeight="1">
      <c r="A47" s="3" t="s">
        <v>77</v>
      </c>
      <c r="B47" s="3">
        <v>1.76435622E9</v>
      </c>
      <c r="C47" s="3" t="s">
        <v>24</v>
      </c>
      <c r="D47" s="3" t="s">
        <v>27</v>
      </c>
      <c r="E47" s="3">
        <v>37.04</v>
      </c>
      <c r="F47" s="3" t="s">
        <v>28</v>
      </c>
      <c r="G47" s="3">
        <f t="shared" si="1"/>
        <v>1</v>
      </c>
      <c r="H47" s="3" t="s">
        <v>66</v>
      </c>
      <c r="I47" s="3">
        <v>233.0</v>
      </c>
      <c r="J47" s="3" t="s">
        <v>30</v>
      </c>
      <c r="L47" s="4">
        <v>45989.78958333333</v>
      </c>
      <c r="M47" s="3">
        <v>18.0</v>
      </c>
    </row>
    <row r="48" ht="15.75" customHeight="1">
      <c r="A48" s="3" t="s">
        <v>78</v>
      </c>
      <c r="B48" s="3">
        <v>1.76396196E9</v>
      </c>
      <c r="C48" s="3" t="s">
        <v>21</v>
      </c>
      <c r="D48" s="3" t="s">
        <v>22</v>
      </c>
      <c r="E48" s="3">
        <v>21.01</v>
      </c>
      <c r="F48" s="3" t="s">
        <v>16</v>
      </c>
      <c r="G48" s="3">
        <f t="shared" si="1"/>
        <v>0</v>
      </c>
      <c r="I48" s="3">
        <v>396.0</v>
      </c>
      <c r="J48" s="3" t="s">
        <v>17</v>
      </c>
      <c r="L48" s="4">
        <v>45985.22638888889</v>
      </c>
      <c r="M48" s="3">
        <v>5.0</v>
      </c>
    </row>
    <row r="49" ht="15.75" customHeight="1">
      <c r="A49" s="3" t="s">
        <v>79</v>
      </c>
      <c r="B49" s="3">
        <v>1.76444478E9</v>
      </c>
      <c r="C49" s="3" t="s">
        <v>21</v>
      </c>
      <c r="D49" s="3" t="s">
        <v>22</v>
      </c>
      <c r="E49" s="3">
        <v>27.38</v>
      </c>
      <c r="F49" s="3" t="s">
        <v>16</v>
      </c>
      <c r="G49" s="3">
        <f t="shared" si="1"/>
        <v>0</v>
      </c>
      <c r="I49" s="3">
        <v>390.0</v>
      </c>
      <c r="J49" s="3" t="s">
        <v>17</v>
      </c>
      <c r="L49" s="4">
        <v>45990.81458333333</v>
      </c>
      <c r="M49" s="3">
        <v>19.0</v>
      </c>
    </row>
    <row r="50" ht="15.75" customHeight="1">
      <c r="A50" s="3" t="s">
        <v>80</v>
      </c>
      <c r="B50" s="3">
        <v>1.76401698E9</v>
      </c>
      <c r="C50" s="3" t="s">
        <v>21</v>
      </c>
      <c r="D50" s="3" t="s">
        <v>35</v>
      </c>
      <c r="E50" s="3">
        <v>24.52</v>
      </c>
      <c r="F50" s="3" t="s">
        <v>16</v>
      </c>
      <c r="G50" s="3">
        <f t="shared" si="1"/>
        <v>0</v>
      </c>
      <c r="I50" s="3">
        <v>216.0</v>
      </c>
      <c r="J50" s="3" t="s">
        <v>17</v>
      </c>
      <c r="L50" s="4">
        <v>45985.86319444444</v>
      </c>
      <c r="M50" s="3">
        <v>20.0</v>
      </c>
    </row>
    <row r="51" ht="15.75" customHeight="1">
      <c r="A51" s="3" t="s">
        <v>81</v>
      </c>
      <c r="B51" s="3">
        <v>1.7641803E9</v>
      </c>
      <c r="C51" s="3" t="s">
        <v>19</v>
      </c>
      <c r="D51" s="3" t="s">
        <v>15</v>
      </c>
      <c r="E51" s="3">
        <v>37.23</v>
      </c>
      <c r="F51" s="3" t="s">
        <v>16</v>
      </c>
      <c r="G51" s="3">
        <f t="shared" si="1"/>
        <v>0</v>
      </c>
      <c r="I51" s="3">
        <v>395.0</v>
      </c>
      <c r="J51" s="3" t="s">
        <v>17</v>
      </c>
      <c r="L51" s="4">
        <v>45987.75347222222</v>
      </c>
      <c r="M51" s="3">
        <v>18.0</v>
      </c>
    </row>
    <row r="52" ht="15.75" customHeight="1">
      <c r="A52" s="3" t="s">
        <v>82</v>
      </c>
      <c r="B52" s="3">
        <v>1.76416152E9</v>
      </c>
      <c r="C52" s="3" t="s">
        <v>37</v>
      </c>
      <c r="D52" s="3" t="s">
        <v>35</v>
      </c>
      <c r="E52" s="3">
        <v>17.88</v>
      </c>
      <c r="F52" s="3" t="s">
        <v>16</v>
      </c>
      <c r="G52" s="3">
        <f t="shared" si="1"/>
        <v>0</v>
      </c>
      <c r="I52" s="3">
        <v>412.0</v>
      </c>
      <c r="J52" s="3" t="s">
        <v>17</v>
      </c>
      <c r="L52" s="4">
        <v>45987.53611111111</v>
      </c>
      <c r="M52" s="3">
        <v>12.0</v>
      </c>
    </row>
    <row r="53" ht="15.75" customHeight="1">
      <c r="A53" s="3" t="s">
        <v>83</v>
      </c>
      <c r="B53" s="3">
        <v>1.76410878E9</v>
      </c>
      <c r="C53" s="3" t="s">
        <v>37</v>
      </c>
      <c r="D53" s="3" t="s">
        <v>32</v>
      </c>
      <c r="E53" s="3">
        <v>29.04</v>
      </c>
      <c r="F53" s="3" t="s">
        <v>16</v>
      </c>
      <c r="G53" s="3">
        <f t="shared" si="1"/>
        <v>0</v>
      </c>
      <c r="I53" s="3">
        <v>596.0</v>
      </c>
      <c r="J53" s="3" t="s">
        <v>17</v>
      </c>
      <c r="L53" s="4">
        <v>45986.92569444444</v>
      </c>
      <c r="M53" s="3">
        <v>22.0</v>
      </c>
    </row>
    <row r="54" ht="15.75" customHeight="1">
      <c r="A54" s="3" t="s">
        <v>84</v>
      </c>
      <c r="B54" s="3">
        <v>1.76436528E9</v>
      </c>
      <c r="C54" s="3" t="s">
        <v>19</v>
      </c>
      <c r="D54" s="3" t="s">
        <v>22</v>
      </c>
      <c r="E54" s="3">
        <v>34.73</v>
      </c>
      <c r="F54" s="3" t="s">
        <v>16</v>
      </c>
      <c r="G54" s="3">
        <f t="shared" si="1"/>
        <v>0</v>
      </c>
      <c r="I54" s="3">
        <v>344.0</v>
      </c>
      <c r="J54" s="3" t="s">
        <v>17</v>
      </c>
      <c r="L54" s="4">
        <v>45989.89444444444</v>
      </c>
      <c r="M54" s="3">
        <v>21.0</v>
      </c>
    </row>
    <row r="55" ht="15.75" customHeight="1">
      <c r="A55" s="3" t="s">
        <v>85</v>
      </c>
      <c r="B55" s="3">
        <v>1.76446236E9</v>
      </c>
      <c r="C55" s="3" t="s">
        <v>19</v>
      </c>
      <c r="D55" s="3" t="s">
        <v>35</v>
      </c>
      <c r="E55" s="3">
        <v>14.65</v>
      </c>
      <c r="F55" s="3" t="s">
        <v>16</v>
      </c>
      <c r="G55" s="3">
        <f t="shared" si="1"/>
        <v>0</v>
      </c>
      <c r="I55" s="3">
        <v>353.0</v>
      </c>
      <c r="J55" s="3" t="s">
        <v>17</v>
      </c>
      <c r="L55" s="4">
        <v>45991.01805555556</v>
      </c>
      <c r="M55" s="3">
        <v>0.0</v>
      </c>
    </row>
    <row r="56" ht="15.75" customHeight="1">
      <c r="A56" s="3" t="s">
        <v>86</v>
      </c>
      <c r="B56" s="3">
        <v>1.76444682E9</v>
      </c>
      <c r="C56" s="3" t="s">
        <v>21</v>
      </c>
      <c r="D56" s="3" t="s">
        <v>27</v>
      </c>
      <c r="E56" s="3">
        <v>35.02</v>
      </c>
      <c r="F56" s="3" t="s">
        <v>16</v>
      </c>
      <c r="G56" s="3">
        <f t="shared" si="1"/>
        <v>0</v>
      </c>
      <c r="I56" s="3">
        <v>558.0</v>
      </c>
      <c r="J56" s="3" t="s">
        <v>17</v>
      </c>
      <c r="L56" s="4">
        <v>45990.83819444444</v>
      </c>
      <c r="M56" s="3">
        <v>20.0</v>
      </c>
    </row>
    <row r="57" ht="15.75" customHeight="1">
      <c r="A57" s="3" t="s">
        <v>87</v>
      </c>
      <c r="B57" s="3">
        <v>1.76446482E9</v>
      </c>
      <c r="C57" s="3" t="s">
        <v>24</v>
      </c>
      <c r="D57" s="3" t="s">
        <v>22</v>
      </c>
      <c r="E57" s="3">
        <v>28.25</v>
      </c>
      <c r="F57" s="3" t="s">
        <v>16</v>
      </c>
      <c r="G57" s="3">
        <f t="shared" si="1"/>
        <v>0</v>
      </c>
      <c r="I57" s="3">
        <v>591.0</v>
      </c>
      <c r="J57" s="3" t="s">
        <v>17</v>
      </c>
      <c r="L57" s="4">
        <v>45991.04652777778</v>
      </c>
      <c r="M57" s="3">
        <v>1.0</v>
      </c>
    </row>
    <row r="58" ht="15.75" customHeight="1">
      <c r="A58" s="3" t="s">
        <v>88</v>
      </c>
      <c r="B58" s="3">
        <v>1.76454264E9</v>
      </c>
      <c r="C58" s="3" t="s">
        <v>24</v>
      </c>
      <c r="D58" s="3" t="s">
        <v>35</v>
      </c>
      <c r="E58" s="3">
        <v>14.64</v>
      </c>
      <c r="F58" s="3" t="s">
        <v>16</v>
      </c>
      <c r="G58" s="3">
        <f t="shared" si="1"/>
        <v>0</v>
      </c>
      <c r="I58" s="3">
        <v>564.0</v>
      </c>
      <c r="J58" s="3" t="s">
        <v>17</v>
      </c>
      <c r="L58" s="4">
        <v>45991.94722222222</v>
      </c>
      <c r="M58" s="3">
        <v>22.0</v>
      </c>
    </row>
    <row r="59" ht="15.75" customHeight="1">
      <c r="A59" s="3" t="s">
        <v>89</v>
      </c>
      <c r="B59" s="3">
        <v>1.76409642E9</v>
      </c>
      <c r="C59" s="3" t="s">
        <v>21</v>
      </c>
      <c r="D59" s="3" t="s">
        <v>35</v>
      </c>
      <c r="E59" s="3">
        <v>46.93</v>
      </c>
      <c r="F59" s="3" t="s">
        <v>16</v>
      </c>
      <c r="G59" s="3">
        <f t="shared" si="1"/>
        <v>0</v>
      </c>
      <c r="I59" s="3">
        <v>282.0</v>
      </c>
      <c r="J59" s="3" t="s">
        <v>17</v>
      </c>
      <c r="L59" s="4">
        <v>45986.78263888889</v>
      </c>
      <c r="M59" s="3">
        <v>18.0</v>
      </c>
    </row>
    <row r="60" ht="15.75" customHeight="1">
      <c r="A60" s="3" t="s">
        <v>90</v>
      </c>
      <c r="B60" s="3">
        <v>1.76411292E9</v>
      </c>
      <c r="C60" s="3" t="s">
        <v>24</v>
      </c>
      <c r="D60" s="3" t="s">
        <v>32</v>
      </c>
      <c r="E60" s="3">
        <v>49.76</v>
      </c>
      <c r="F60" s="3" t="s">
        <v>16</v>
      </c>
      <c r="G60" s="3">
        <f t="shared" si="1"/>
        <v>0</v>
      </c>
      <c r="I60" s="3">
        <v>40.0</v>
      </c>
      <c r="J60" s="3" t="s">
        <v>17</v>
      </c>
      <c r="L60" s="4">
        <v>45986.97361111111</v>
      </c>
      <c r="M60" s="3">
        <v>23.0</v>
      </c>
    </row>
    <row r="61" ht="15.75" customHeight="1">
      <c r="A61" s="3" t="s">
        <v>91</v>
      </c>
      <c r="B61" s="3">
        <v>1.76418648E9</v>
      </c>
      <c r="C61" s="3" t="s">
        <v>37</v>
      </c>
      <c r="D61" s="3" t="s">
        <v>32</v>
      </c>
      <c r="E61" s="3">
        <v>30.45</v>
      </c>
      <c r="F61" s="3" t="s">
        <v>16</v>
      </c>
      <c r="G61" s="3">
        <f t="shared" si="1"/>
        <v>0</v>
      </c>
      <c r="I61" s="3">
        <v>113.0</v>
      </c>
      <c r="J61" s="3" t="s">
        <v>17</v>
      </c>
      <c r="L61" s="4">
        <v>45987.825</v>
      </c>
      <c r="M61" s="3">
        <v>19.0</v>
      </c>
    </row>
    <row r="62" ht="15.75" customHeight="1">
      <c r="A62" s="3" t="s">
        <v>92</v>
      </c>
      <c r="B62" s="3">
        <v>1.76401764E9</v>
      </c>
      <c r="C62" s="3" t="s">
        <v>24</v>
      </c>
      <c r="D62" s="3" t="s">
        <v>15</v>
      </c>
      <c r="E62" s="3">
        <v>39.53</v>
      </c>
      <c r="F62" s="3" t="s">
        <v>16</v>
      </c>
      <c r="G62" s="3">
        <f t="shared" si="1"/>
        <v>0</v>
      </c>
      <c r="I62" s="3">
        <v>299.0</v>
      </c>
      <c r="J62" s="3" t="s">
        <v>17</v>
      </c>
      <c r="L62" s="4">
        <v>45985.87083333333</v>
      </c>
      <c r="M62" s="3">
        <v>20.0</v>
      </c>
    </row>
    <row r="63" ht="15.75" customHeight="1">
      <c r="A63" s="3" t="s">
        <v>93</v>
      </c>
      <c r="B63" s="3">
        <v>1.76453106E9</v>
      </c>
      <c r="C63" s="3" t="s">
        <v>21</v>
      </c>
      <c r="D63" s="3" t="s">
        <v>27</v>
      </c>
      <c r="E63" s="3">
        <v>51.64</v>
      </c>
      <c r="F63" s="3" t="s">
        <v>16</v>
      </c>
      <c r="G63" s="3">
        <f t="shared" si="1"/>
        <v>0</v>
      </c>
      <c r="I63" s="3">
        <v>356.0</v>
      </c>
      <c r="J63" s="3" t="s">
        <v>17</v>
      </c>
      <c r="L63" s="4">
        <v>45991.81319444445</v>
      </c>
      <c r="M63" s="3">
        <v>19.0</v>
      </c>
    </row>
    <row r="64" ht="15.75" customHeight="1">
      <c r="A64" s="3" t="s">
        <v>94</v>
      </c>
      <c r="B64" s="3">
        <v>1.76405406E9</v>
      </c>
      <c r="C64" s="3" t="s">
        <v>19</v>
      </c>
      <c r="D64" s="3" t="s">
        <v>15</v>
      </c>
      <c r="E64" s="3">
        <v>19.67</v>
      </c>
      <c r="F64" s="3" t="s">
        <v>16</v>
      </c>
      <c r="G64" s="3">
        <f t="shared" si="1"/>
        <v>0</v>
      </c>
      <c r="I64" s="3">
        <v>233.0</v>
      </c>
      <c r="J64" s="3" t="s">
        <v>17</v>
      </c>
      <c r="L64" s="4">
        <v>45986.29236111111</v>
      </c>
      <c r="M64" s="3">
        <v>7.0</v>
      </c>
    </row>
    <row r="65" ht="15.75" customHeight="1">
      <c r="A65" s="3" t="s">
        <v>95</v>
      </c>
      <c r="B65" s="3">
        <v>1.76437428E9</v>
      </c>
      <c r="C65" s="3" t="s">
        <v>19</v>
      </c>
      <c r="D65" s="3" t="s">
        <v>32</v>
      </c>
      <c r="E65" s="3">
        <v>16.62</v>
      </c>
      <c r="F65" s="3" t="s">
        <v>28</v>
      </c>
      <c r="G65" s="3">
        <f t="shared" si="1"/>
        <v>1</v>
      </c>
      <c r="H65" s="3" t="s">
        <v>96</v>
      </c>
      <c r="I65" s="3">
        <v>203.0</v>
      </c>
      <c r="J65" s="3" t="s">
        <v>17</v>
      </c>
      <c r="L65" s="4">
        <v>45989.99861111111</v>
      </c>
      <c r="M65" s="3">
        <v>23.0</v>
      </c>
    </row>
    <row r="66" ht="15.75" customHeight="1">
      <c r="A66" s="3" t="s">
        <v>97</v>
      </c>
      <c r="B66" s="3">
        <v>1.764273E9</v>
      </c>
      <c r="C66" s="3" t="s">
        <v>24</v>
      </c>
      <c r="D66" s="3" t="s">
        <v>35</v>
      </c>
      <c r="E66" s="3">
        <v>51.63</v>
      </c>
      <c r="F66" s="3" t="s">
        <v>16</v>
      </c>
      <c r="G66" s="3">
        <f t="shared" si="1"/>
        <v>0</v>
      </c>
      <c r="I66" s="3">
        <v>242.0</v>
      </c>
      <c r="J66" s="3" t="s">
        <v>17</v>
      </c>
      <c r="L66" s="4">
        <v>45988.82638888889</v>
      </c>
      <c r="M66" s="3">
        <v>19.0</v>
      </c>
    </row>
    <row r="67" ht="15.75" customHeight="1">
      <c r="A67" s="3" t="s">
        <v>98</v>
      </c>
      <c r="B67" s="3">
        <v>1.76431692E9</v>
      </c>
      <c r="C67" s="3" t="s">
        <v>14</v>
      </c>
      <c r="D67" s="3" t="s">
        <v>35</v>
      </c>
      <c r="E67" s="3">
        <v>14.57</v>
      </c>
      <c r="F67" s="3" t="s">
        <v>16</v>
      </c>
      <c r="G67" s="3">
        <f t="shared" si="1"/>
        <v>0</v>
      </c>
      <c r="I67" s="3">
        <v>367.0</v>
      </c>
      <c r="J67" s="3" t="s">
        <v>17</v>
      </c>
      <c r="L67" s="4">
        <v>45989.33472222222</v>
      </c>
      <c r="M67" s="3">
        <v>8.0</v>
      </c>
    </row>
    <row r="68" ht="15.75" customHeight="1">
      <c r="A68" s="3" t="s">
        <v>99</v>
      </c>
      <c r="B68" s="3">
        <v>1.76441406E9</v>
      </c>
      <c r="C68" s="3" t="s">
        <v>14</v>
      </c>
      <c r="D68" s="3" t="s">
        <v>35</v>
      </c>
      <c r="E68" s="3">
        <v>33.17</v>
      </c>
      <c r="F68" s="3" t="s">
        <v>16</v>
      </c>
      <c r="G68" s="3">
        <f t="shared" si="1"/>
        <v>0</v>
      </c>
      <c r="I68" s="3">
        <v>564.0</v>
      </c>
      <c r="J68" s="3" t="s">
        <v>17</v>
      </c>
      <c r="L68" s="4">
        <v>45990.45902777778</v>
      </c>
      <c r="M68" s="3">
        <v>11.0</v>
      </c>
    </row>
    <row r="69" ht="15.75" customHeight="1">
      <c r="A69" s="3" t="s">
        <v>100</v>
      </c>
      <c r="B69" s="3">
        <v>1.76430186E9</v>
      </c>
      <c r="C69" s="3" t="s">
        <v>37</v>
      </c>
      <c r="D69" s="3" t="s">
        <v>15</v>
      </c>
      <c r="E69" s="3">
        <v>43.91</v>
      </c>
      <c r="F69" s="3" t="s">
        <v>16</v>
      </c>
      <c r="G69" s="3">
        <f t="shared" si="1"/>
        <v>0</v>
      </c>
      <c r="I69" s="3">
        <v>79.0</v>
      </c>
      <c r="J69" s="3" t="s">
        <v>17</v>
      </c>
      <c r="L69" s="4">
        <v>45989.16041666667</v>
      </c>
      <c r="M69" s="3">
        <v>3.0</v>
      </c>
    </row>
    <row r="70" ht="15.75" customHeight="1">
      <c r="A70" s="3" t="s">
        <v>101</v>
      </c>
      <c r="B70" s="3">
        <v>1.76437332E9</v>
      </c>
      <c r="C70" s="3" t="s">
        <v>14</v>
      </c>
      <c r="D70" s="3" t="s">
        <v>27</v>
      </c>
      <c r="E70" s="3">
        <v>26.16</v>
      </c>
      <c r="F70" s="3" t="s">
        <v>28</v>
      </c>
      <c r="G70" s="3">
        <f t="shared" si="1"/>
        <v>1</v>
      </c>
      <c r="H70" s="3" t="s">
        <v>29</v>
      </c>
      <c r="I70" s="3">
        <v>398.0</v>
      </c>
      <c r="J70" s="3" t="s">
        <v>17</v>
      </c>
      <c r="L70" s="4">
        <v>45989.9875</v>
      </c>
      <c r="M70" s="3">
        <v>23.0</v>
      </c>
    </row>
    <row r="71" ht="15.75" customHeight="1">
      <c r="A71" s="3" t="s">
        <v>102</v>
      </c>
      <c r="B71" s="3">
        <v>1.76454546E9</v>
      </c>
      <c r="C71" s="3" t="s">
        <v>37</v>
      </c>
      <c r="D71" s="3" t="s">
        <v>15</v>
      </c>
      <c r="E71" s="3">
        <v>17.9</v>
      </c>
      <c r="F71" s="3" t="s">
        <v>28</v>
      </c>
      <c r="G71" s="3">
        <f t="shared" si="1"/>
        <v>1</v>
      </c>
      <c r="H71" s="3" t="s">
        <v>29</v>
      </c>
      <c r="I71" s="3">
        <v>568.0</v>
      </c>
      <c r="J71" s="3" t="s">
        <v>17</v>
      </c>
      <c r="K71" s="3">
        <v>36.0</v>
      </c>
      <c r="L71" s="4">
        <v>45991.97986111111</v>
      </c>
      <c r="M71" s="3">
        <v>23.0</v>
      </c>
    </row>
    <row r="72" ht="15.75" customHeight="1">
      <c r="A72" s="3" t="s">
        <v>103</v>
      </c>
      <c r="B72" s="3">
        <v>1.76409672E9</v>
      </c>
      <c r="C72" s="3" t="s">
        <v>37</v>
      </c>
      <c r="D72" s="3" t="s">
        <v>22</v>
      </c>
      <c r="E72" s="3">
        <v>32.58</v>
      </c>
      <c r="F72" s="3" t="s">
        <v>16</v>
      </c>
      <c r="G72" s="3">
        <f t="shared" si="1"/>
        <v>0</v>
      </c>
      <c r="I72" s="3">
        <v>457.0</v>
      </c>
      <c r="J72" s="3" t="s">
        <v>17</v>
      </c>
      <c r="L72" s="4">
        <v>45986.78611111111</v>
      </c>
      <c r="M72" s="3">
        <v>18.0</v>
      </c>
    </row>
    <row r="73" ht="15.75" customHeight="1">
      <c r="A73" s="3" t="s">
        <v>104</v>
      </c>
      <c r="B73" s="3">
        <v>1.76410962E9</v>
      </c>
      <c r="C73" s="3" t="s">
        <v>37</v>
      </c>
      <c r="D73" s="3" t="s">
        <v>32</v>
      </c>
      <c r="E73" s="3">
        <v>35.54</v>
      </c>
      <c r="F73" s="3" t="s">
        <v>28</v>
      </c>
      <c r="G73" s="3">
        <f t="shared" si="1"/>
        <v>1</v>
      </c>
      <c r="H73" s="3" t="s">
        <v>55</v>
      </c>
      <c r="I73" s="3">
        <v>644.0</v>
      </c>
      <c r="J73" s="3" t="s">
        <v>17</v>
      </c>
      <c r="L73" s="4">
        <v>45986.93541666667</v>
      </c>
      <c r="M73" s="3">
        <v>22.0</v>
      </c>
    </row>
    <row r="74" ht="15.75" customHeight="1">
      <c r="A74" s="3" t="s">
        <v>105</v>
      </c>
      <c r="B74" s="3">
        <v>1.76427594E9</v>
      </c>
      <c r="C74" s="3" t="s">
        <v>21</v>
      </c>
      <c r="D74" s="3" t="s">
        <v>27</v>
      </c>
      <c r="E74" s="3">
        <v>39.77</v>
      </c>
      <c r="F74" s="3" t="s">
        <v>16</v>
      </c>
      <c r="G74" s="3">
        <f t="shared" si="1"/>
        <v>0</v>
      </c>
      <c r="I74" s="3">
        <v>186.0</v>
      </c>
      <c r="J74" s="3" t="s">
        <v>17</v>
      </c>
      <c r="L74" s="4">
        <v>45988.86041666667</v>
      </c>
      <c r="M74" s="3">
        <v>20.0</v>
      </c>
    </row>
    <row r="75" ht="15.75" customHeight="1">
      <c r="A75" s="3" t="s">
        <v>106</v>
      </c>
      <c r="B75" s="3">
        <v>1.76444166E9</v>
      </c>
      <c r="C75" s="3" t="s">
        <v>19</v>
      </c>
      <c r="D75" s="3" t="s">
        <v>15</v>
      </c>
      <c r="E75" s="3">
        <v>47.08</v>
      </c>
      <c r="F75" s="3" t="s">
        <v>16</v>
      </c>
      <c r="G75" s="3">
        <f t="shared" si="1"/>
        <v>0</v>
      </c>
      <c r="I75" s="3">
        <v>476.0</v>
      </c>
      <c r="J75" s="3" t="s">
        <v>17</v>
      </c>
      <c r="L75" s="4">
        <v>45990.77847222222</v>
      </c>
      <c r="M75" s="3">
        <v>18.0</v>
      </c>
    </row>
    <row r="76" ht="15.75" customHeight="1">
      <c r="A76" s="3" t="s">
        <v>107</v>
      </c>
      <c r="B76" s="3">
        <v>1.76410974E9</v>
      </c>
      <c r="C76" s="3" t="s">
        <v>14</v>
      </c>
      <c r="D76" s="3" t="s">
        <v>32</v>
      </c>
      <c r="E76" s="3">
        <v>25.91</v>
      </c>
      <c r="F76" s="3" t="s">
        <v>16</v>
      </c>
      <c r="G76" s="3">
        <f t="shared" si="1"/>
        <v>0</v>
      </c>
      <c r="I76" s="3">
        <v>169.0</v>
      </c>
      <c r="J76" s="3" t="s">
        <v>17</v>
      </c>
      <c r="L76" s="4">
        <v>45986.93680555555</v>
      </c>
      <c r="M76" s="3">
        <v>22.0</v>
      </c>
    </row>
    <row r="77" ht="15.75" customHeight="1">
      <c r="A77" s="3" t="s">
        <v>108</v>
      </c>
      <c r="B77" s="3">
        <v>1.76404104E9</v>
      </c>
      <c r="C77" s="3" t="s">
        <v>21</v>
      </c>
      <c r="D77" s="3" t="s">
        <v>32</v>
      </c>
      <c r="E77" s="3">
        <v>29.81</v>
      </c>
      <c r="F77" s="3" t="s">
        <v>28</v>
      </c>
      <c r="G77" s="3">
        <f t="shared" si="1"/>
        <v>1</v>
      </c>
      <c r="H77" s="3" t="s">
        <v>55</v>
      </c>
      <c r="I77" s="3">
        <v>465.0</v>
      </c>
      <c r="J77" s="3" t="s">
        <v>17</v>
      </c>
      <c r="L77" s="4">
        <v>45986.14166666667</v>
      </c>
      <c r="M77" s="3">
        <v>3.0</v>
      </c>
    </row>
    <row r="78" ht="15.75" customHeight="1">
      <c r="A78" s="3" t="s">
        <v>109</v>
      </c>
      <c r="B78" s="3">
        <v>1.76444154E9</v>
      </c>
      <c r="C78" s="3" t="s">
        <v>14</v>
      </c>
      <c r="D78" s="3" t="s">
        <v>27</v>
      </c>
      <c r="E78" s="3">
        <v>39.75</v>
      </c>
      <c r="F78" s="3" t="s">
        <v>16</v>
      </c>
      <c r="G78" s="3">
        <f t="shared" si="1"/>
        <v>0</v>
      </c>
      <c r="I78" s="3">
        <v>372.0</v>
      </c>
      <c r="J78" s="3" t="s">
        <v>17</v>
      </c>
      <c r="L78" s="4">
        <v>45990.77708333333</v>
      </c>
      <c r="M78" s="3">
        <v>18.0</v>
      </c>
    </row>
    <row r="79" ht="15.75" customHeight="1">
      <c r="A79" s="3" t="s">
        <v>110</v>
      </c>
      <c r="B79" s="3">
        <v>1.76442702E9</v>
      </c>
      <c r="C79" s="3" t="s">
        <v>24</v>
      </c>
      <c r="D79" s="3" t="s">
        <v>22</v>
      </c>
      <c r="E79" s="3">
        <v>17.0</v>
      </c>
      <c r="F79" s="3" t="s">
        <v>28</v>
      </c>
      <c r="G79" s="3">
        <f t="shared" si="1"/>
        <v>1</v>
      </c>
      <c r="H79" s="3" t="s">
        <v>38</v>
      </c>
      <c r="I79" s="3">
        <v>156.0</v>
      </c>
      <c r="J79" s="3" t="s">
        <v>17</v>
      </c>
      <c r="L79" s="4">
        <v>45990.60902777778</v>
      </c>
      <c r="M79" s="3">
        <v>14.0</v>
      </c>
    </row>
    <row r="80" ht="15.75" customHeight="1">
      <c r="A80" s="3" t="s">
        <v>111</v>
      </c>
      <c r="B80" s="3">
        <v>1.76431152E9</v>
      </c>
      <c r="C80" s="3" t="s">
        <v>24</v>
      </c>
      <c r="D80" s="3" t="s">
        <v>32</v>
      </c>
      <c r="E80" s="3">
        <v>50.94</v>
      </c>
      <c r="F80" s="3" t="s">
        <v>16</v>
      </c>
      <c r="G80" s="3">
        <f t="shared" si="1"/>
        <v>0</v>
      </c>
      <c r="I80" s="3">
        <v>77.0</v>
      </c>
      <c r="J80" s="3" t="s">
        <v>17</v>
      </c>
      <c r="L80" s="4">
        <v>45989.27222222222</v>
      </c>
      <c r="M80" s="3">
        <v>6.0</v>
      </c>
    </row>
    <row r="81" ht="15.75" customHeight="1">
      <c r="A81" s="3" t="s">
        <v>112</v>
      </c>
      <c r="B81" s="3">
        <v>1.76407458E9</v>
      </c>
      <c r="C81" s="3" t="s">
        <v>24</v>
      </c>
      <c r="D81" s="3" t="s">
        <v>22</v>
      </c>
      <c r="E81" s="3">
        <v>34.1</v>
      </c>
      <c r="F81" s="3" t="s">
        <v>16</v>
      </c>
      <c r="G81" s="3">
        <f t="shared" si="1"/>
        <v>0</v>
      </c>
      <c r="I81" s="3">
        <v>355.0</v>
      </c>
      <c r="J81" s="3" t="s">
        <v>17</v>
      </c>
      <c r="L81" s="4">
        <v>45986.52986111111</v>
      </c>
      <c r="M81" s="3">
        <v>12.0</v>
      </c>
    </row>
    <row r="82" ht="15.75" customHeight="1">
      <c r="A82" s="3" t="s">
        <v>113</v>
      </c>
      <c r="B82" s="3">
        <v>1.76396364E9</v>
      </c>
      <c r="C82" s="3" t="s">
        <v>37</v>
      </c>
      <c r="D82" s="3" t="s">
        <v>27</v>
      </c>
      <c r="E82" s="3">
        <v>14.09</v>
      </c>
      <c r="F82" s="3" t="s">
        <v>16</v>
      </c>
      <c r="G82" s="3">
        <f t="shared" si="1"/>
        <v>0</v>
      </c>
      <c r="I82" s="3">
        <v>220.0</v>
      </c>
      <c r="J82" s="3" t="s">
        <v>17</v>
      </c>
      <c r="L82" s="4">
        <v>45985.24583333333</v>
      </c>
      <c r="M82" s="3">
        <v>5.0</v>
      </c>
    </row>
    <row r="83" ht="15.75" customHeight="1">
      <c r="A83" s="3" t="s">
        <v>114</v>
      </c>
      <c r="B83" s="3">
        <v>1.76427354E9</v>
      </c>
      <c r="C83" s="3" t="s">
        <v>37</v>
      </c>
      <c r="D83" s="3" t="s">
        <v>22</v>
      </c>
      <c r="E83" s="3">
        <v>39.91</v>
      </c>
      <c r="F83" s="3" t="s">
        <v>16</v>
      </c>
      <c r="G83" s="3">
        <f t="shared" si="1"/>
        <v>0</v>
      </c>
      <c r="I83" s="3">
        <v>519.0</v>
      </c>
      <c r="J83" s="3" t="s">
        <v>17</v>
      </c>
      <c r="L83" s="4">
        <v>45988.83263888889</v>
      </c>
      <c r="M83" s="3">
        <v>19.0</v>
      </c>
    </row>
    <row r="84" ht="15.75" customHeight="1">
      <c r="A84" s="3" t="s">
        <v>115</v>
      </c>
      <c r="B84" s="3">
        <v>1.76436612E9</v>
      </c>
      <c r="C84" s="3" t="s">
        <v>19</v>
      </c>
      <c r="D84" s="3" t="s">
        <v>35</v>
      </c>
      <c r="E84" s="3">
        <v>35.89</v>
      </c>
      <c r="F84" s="3" t="s">
        <v>16</v>
      </c>
      <c r="G84" s="3">
        <f t="shared" si="1"/>
        <v>0</v>
      </c>
      <c r="I84" s="3">
        <v>393.0</v>
      </c>
      <c r="J84" s="3" t="s">
        <v>17</v>
      </c>
      <c r="L84" s="4">
        <v>45989.90416666667</v>
      </c>
      <c r="M84" s="3">
        <v>21.0</v>
      </c>
    </row>
    <row r="85" ht="15.75" customHeight="1">
      <c r="A85" s="3" t="s">
        <v>116</v>
      </c>
      <c r="B85" s="3">
        <v>1.76448738E9</v>
      </c>
      <c r="C85" s="3" t="s">
        <v>14</v>
      </c>
      <c r="D85" s="3" t="s">
        <v>27</v>
      </c>
      <c r="E85" s="3">
        <v>31.91</v>
      </c>
      <c r="F85" s="3" t="s">
        <v>16</v>
      </c>
      <c r="G85" s="3">
        <f t="shared" si="1"/>
        <v>0</v>
      </c>
      <c r="I85" s="3">
        <v>90.0</v>
      </c>
      <c r="J85" s="3" t="s">
        <v>17</v>
      </c>
      <c r="L85" s="4">
        <v>45991.30763888889</v>
      </c>
      <c r="M85" s="3">
        <v>7.0</v>
      </c>
    </row>
    <row r="86" ht="15.75" customHeight="1">
      <c r="A86" s="3" t="s">
        <v>117</v>
      </c>
      <c r="B86" s="3">
        <v>1.764018E9</v>
      </c>
      <c r="C86" s="3" t="s">
        <v>21</v>
      </c>
      <c r="D86" s="3" t="s">
        <v>15</v>
      </c>
      <c r="E86" s="3">
        <v>34.74</v>
      </c>
      <c r="F86" s="3" t="s">
        <v>28</v>
      </c>
      <c r="G86" s="3">
        <f t="shared" si="1"/>
        <v>1</v>
      </c>
      <c r="H86" s="3" t="s">
        <v>55</v>
      </c>
      <c r="I86" s="3">
        <v>372.0</v>
      </c>
      <c r="J86" s="3" t="s">
        <v>17</v>
      </c>
      <c r="L86" s="4">
        <v>45985.875</v>
      </c>
      <c r="M86" s="3">
        <v>21.0</v>
      </c>
    </row>
    <row r="87" ht="15.75" customHeight="1">
      <c r="A87" s="3" t="s">
        <v>118</v>
      </c>
      <c r="B87" s="3">
        <v>1.76428458E9</v>
      </c>
      <c r="C87" s="3" t="s">
        <v>14</v>
      </c>
      <c r="D87" s="3" t="s">
        <v>15</v>
      </c>
      <c r="E87" s="3">
        <v>46.83</v>
      </c>
      <c r="F87" s="3" t="s">
        <v>16</v>
      </c>
      <c r="G87" s="3">
        <f t="shared" si="1"/>
        <v>0</v>
      </c>
      <c r="I87" s="3">
        <v>181.0</v>
      </c>
      <c r="J87" s="3" t="s">
        <v>17</v>
      </c>
      <c r="L87" s="4">
        <v>45988.96041666667</v>
      </c>
      <c r="M87" s="3">
        <v>23.0</v>
      </c>
    </row>
    <row r="88" ht="15.75" customHeight="1">
      <c r="A88" s="3" t="s">
        <v>119</v>
      </c>
      <c r="B88" s="3">
        <v>1.7642178E9</v>
      </c>
      <c r="C88" s="3" t="s">
        <v>24</v>
      </c>
      <c r="D88" s="3" t="s">
        <v>22</v>
      </c>
      <c r="E88" s="3">
        <v>27.21</v>
      </c>
      <c r="F88" s="3" t="s">
        <v>16</v>
      </c>
      <c r="G88" s="3">
        <f t="shared" si="1"/>
        <v>0</v>
      </c>
      <c r="I88" s="3">
        <v>446.0</v>
      </c>
      <c r="J88" s="3" t="s">
        <v>17</v>
      </c>
      <c r="L88" s="4">
        <v>45988.1875</v>
      </c>
      <c r="M88" s="3">
        <v>4.0</v>
      </c>
    </row>
    <row r="89" ht="15.75" customHeight="1">
      <c r="A89" s="3" t="s">
        <v>120</v>
      </c>
      <c r="B89" s="3">
        <v>1.76451312E9</v>
      </c>
      <c r="C89" s="3" t="s">
        <v>14</v>
      </c>
      <c r="D89" s="3" t="s">
        <v>32</v>
      </c>
      <c r="E89" s="3">
        <v>34.92</v>
      </c>
      <c r="F89" s="3" t="s">
        <v>28</v>
      </c>
      <c r="G89" s="3">
        <f t="shared" si="1"/>
        <v>1</v>
      </c>
      <c r="H89" s="3" t="s">
        <v>29</v>
      </c>
      <c r="I89" s="3">
        <v>428.0</v>
      </c>
      <c r="J89" s="3" t="s">
        <v>17</v>
      </c>
      <c r="L89" s="4">
        <v>45991.60555555556</v>
      </c>
      <c r="M89" s="3">
        <v>14.0</v>
      </c>
    </row>
    <row r="90" ht="15.75" customHeight="1">
      <c r="A90" s="3" t="s">
        <v>121</v>
      </c>
      <c r="B90" s="3">
        <v>1.76453274E9</v>
      </c>
      <c r="C90" s="3" t="s">
        <v>19</v>
      </c>
      <c r="D90" s="3" t="s">
        <v>22</v>
      </c>
      <c r="E90" s="3">
        <v>36.77</v>
      </c>
      <c r="F90" s="3" t="s">
        <v>16</v>
      </c>
      <c r="G90" s="3">
        <f t="shared" si="1"/>
        <v>0</v>
      </c>
      <c r="I90" s="3">
        <v>429.0</v>
      </c>
      <c r="J90" s="3" t="s">
        <v>17</v>
      </c>
      <c r="L90" s="4">
        <v>45991.83263888889</v>
      </c>
      <c r="M90" s="3">
        <v>19.0</v>
      </c>
    </row>
    <row r="91" ht="15.75" customHeight="1">
      <c r="A91" s="3" t="s">
        <v>122</v>
      </c>
      <c r="B91" s="3">
        <v>1.76401626E9</v>
      </c>
      <c r="C91" s="3" t="s">
        <v>14</v>
      </c>
      <c r="D91" s="3" t="s">
        <v>22</v>
      </c>
      <c r="E91" s="3">
        <v>46.24</v>
      </c>
      <c r="F91" s="3" t="s">
        <v>16</v>
      </c>
      <c r="G91" s="3">
        <f t="shared" si="1"/>
        <v>0</v>
      </c>
      <c r="I91" s="3">
        <v>240.0</v>
      </c>
      <c r="J91" s="3" t="s">
        <v>17</v>
      </c>
      <c r="L91" s="4">
        <v>45985.85486111111</v>
      </c>
      <c r="M91" s="3">
        <v>20.0</v>
      </c>
    </row>
    <row r="92" ht="15.75" customHeight="1">
      <c r="A92" s="3" t="s">
        <v>123</v>
      </c>
      <c r="B92" s="3">
        <v>1.76452674E9</v>
      </c>
      <c r="C92" s="3" t="s">
        <v>37</v>
      </c>
      <c r="D92" s="3" t="s">
        <v>15</v>
      </c>
      <c r="E92" s="3">
        <v>29.19</v>
      </c>
      <c r="F92" s="3" t="s">
        <v>16</v>
      </c>
      <c r="G92" s="3">
        <f t="shared" si="1"/>
        <v>0</v>
      </c>
      <c r="I92" s="3">
        <v>517.0</v>
      </c>
      <c r="J92" s="3" t="s">
        <v>17</v>
      </c>
      <c r="L92" s="4">
        <v>45991.76319444444</v>
      </c>
      <c r="M92" s="3">
        <v>18.0</v>
      </c>
    </row>
    <row r="93" ht="15.75" customHeight="1">
      <c r="A93" s="3" t="s">
        <v>124</v>
      </c>
      <c r="B93" s="3">
        <v>1.76400816E9</v>
      </c>
      <c r="C93" s="3" t="s">
        <v>21</v>
      </c>
      <c r="D93" s="3" t="s">
        <v>15</v>
      </c>
      <c r="E93" s="3">
        <v>40.82</v>
      </c>
      <c r="F93" s="3" t="s">
        <v>16</v>
      </c>
      <c r="G93" s="3">
        <f t="shared" si="1"/>
        <v>0</v>
      </c>
      <c r="I93" s="3">
        <v>339.0</v>
      </c>
      <c r="J93" s="3" t="s">
        <v>17</v>
      </c>
      <c r="L93" s="4">
        <v>45985.76111111111</v>
      </c>
      <c r="M93" s="3">
        <v>18.0</v>
      </c>
    </row>
    <row r="94" ht="15.75" customHeight="1">
      <c r="A94" s="3" t="s">
        <v>125</v>
      </c>
      <c r="B94" s="3">
        <v>1.76398494E9</v>
      </c>
      <c r="C94" s="3" t="s">
        <v>24</v>
      </c>
      <c r="D94" s="3" t="s">
        <v>15</v>
      </c>
      <c r="E94" s="3">
        <v>49.66</v>
      </c>
      <c r="F94" s="3" t="s">
        <v>16</v>
      </c>
      <c r="G94" s="3">
        <f t="shared" si="1"/>
        <v>0</v>
      </c>
      <c r="I94" s="3">
        <v>348.0</v>
      </c>
      <c r="J94" s="3" t="s">
        <v>17</v>
      </c>
      <c r="L94" s="4">
        <v>45985.49236111111</v>
      </c>
      <c r="M94" s="3">
        <v>11.0</v>
      </c>
    </row>
    <row r="95" ht="15.75" customHeight="1">
      <c r="A95" s="3" t="s">
        <v>126</v>
      </c>
      <c r="B95" s="3">
        <v>1.76407614E9</v>
      </c>
      <c r="C95" s="3" t="s">
        <v>24</v>
      </c>
      <c r="D95" s="3" t="s">
        <v>22</v>
      </c>
      <c r="E95" s="3">
        <v>23.19</v>
      </c>
      <c r="F95" s="3" t="s">
        <v>16</v>
      </c>
      <c r="G95" s="3">
        <f t="shared" si="1"/>
        <v>0</v>
      </c>
      <c r="I95" s="3">
        <v>406.0</v>
      </c>
      <c r="J95" s="3" t="s">
        <v>17</v>
      </c>
      <c r="L95" s="4">
        <v>45986.54791666667</v>
      </c>
      <c r="M95" s="3">
        <v>13.0</v>
      </c>
    </row>
    <row r="96" ht="15.75" customHeight="1">
      <c r="A96" s="3" t="s">
        <v>127</v>
      </c>
      <c r="B96" s="3">
        <v>1.76454468E9</v>
      </c>
      <c r="C96" s="3" t="s">
        <v>14</v>
      </c>
      <c r="D96" s="3" t="s">
        <v>22</v>
      </c>
      <c r="E96" s="3">
        <v>36.39</v>
      </c>
      <c r="F96" s="3" t="s">
        <v>16</v>
      </c>
      <c r="G96" s="3">
        <f t="shared" si="1"/>
        <v>0</v>
      </c>
      <c r="I96" s="3">
        <v>468.0</v>
      </c>
      <c r="J96" s="3" t="s">
        <v>17</v>
      </c>
      <c r="L96" s="4">
        <v>45991.97083333333</v>
      </c>
      <c r="M96" s="3">
        <v>23.0</v>
      </c>
    </row>
    <row r="97" ht="15.75" customHeight="1">
      <c r="A97" s="3" t="s">
        <v>128</v>
      </c>
      <c r="B97" s="3">
        <v>1.764201E9</v>
      </c>
      <c r="C97" s="3" t="s">
        <v>37</v>
      </c>
      <c r="D97" s="3" t="s">
        <v>32</v>
      </c>
      <c r="E97" s="3">
        <v>45.25</v>
      </c>
      <c r="F97" s="3" t="s">
        <v>16</v>
      </c>
      <c r="G97" s="3">
        <f t="shared" si="1"/>
        <v>0</v>
      </c>
      <c r="I97" s="3">
        <v>278.0</v>
      </c>
      <c r="J97" s="3" t="s">
        <v>17</v>
      </c>
      <c r="L97" s="4">
        <v>45987.99305555555</v>
      </c>
      <c r="M97" s="3">
        <v>23.0</v>
      </c>
    </row>
    <row r="98" ht="15.75" customHeight="1">
      <c r="A98" s="3" t="s">
        <v>129</v>
      </c>
      <c r="B98" s="3">
        <v>1.76405664E9</v>
      </c>
      <c r="C98" s="3" t="s">
        <v>24</v>
      </c>
      <c r="D98" s="3" t="s">
        <v>15</v>
      </c>
      <c r="E98" s="3">
        <v>45.07</v>
      </c>
      <c r="F98" s="3" t="s">
        <v>16</v>
      </c>
      <c r="G98" s="3">
        <f t="shared" si="1"/>
        <v>0</v>
      </c>
      <c r="I98" s="3">
        <v>389.0</v>
      </c>
      <c r="J98" s="3" t="s">
        <v>17</v>
      </c>
      <c r="L98" s="4">
        <v>45986.32222222222</v>
      </c>
      <c r="M98" s="3">
        <v>7.0</v>
      </c>
    </row>
    <row r="99" ht="15.75" customHeight="1">
      <c r="A99" s="3" t="s">
        <v>130</v>
      </c>
      <c r="B99" s="3">
        <v>1.7642679E9</v>
      </c>
      <c r="C99" s="3" t="s">
        <v>24</v>
      </c>
      <c r="D99" s="3" t="s">
        <v>22</v>
      </c>
      <c r="E99" s="3">
        <v>17.15</v>
      </c>
      <c r="F99" s="3" t="s">
        <v>16</v>
      </c>
      <c r="G99" s="3">
        <f t="shared" si="1"/>
        <v>0</v>
      </c>
      <c r="I99" s="3">
        <v>376.0</v>
      </c>
      <c r="J99" s="3" t="s">
        <v>17</v>
      </c>
      <c r="L99" s="4">
        <v>45988.76736111111</v>
      </c>
      <c r="M99" s="3">
        <v>18.0</v>
      </c>
    </row>
    <row r="100" ht="15.75" customHeight="1">
      <c r="A100" s="3" t="s">
        <v>131</v>
      </c>
      <c r="B100" s="3">
        <v>1.76445396E9</v>
      </c>
      <c r="C100" s="3" t="s">
        <v>14</v>
      </c>
      <c r="D100" s="3" t="s">
        <v>22</v>
      </c>
      <c r="E100" s="3">
        <v>28.21</v>
      </c>
      <c r="F100" s="3" t="s">
        <v>28</v>
      </c>
      <c r="G100" s="3">
        <f t="shared" si="1"/>
        <v>1</v>
      </c>
      <c r="H100" s="3" t="s">
        <v>41</v>
      </c>
      <c r="I100" s="3">
        <v>410.0</v>
      </c>
      <c r="J100" s="3" t="s">
        <v>17</v>
      </c>
      <c r="L100" s="4">
        <v>45990.92083333333</v>
      </c>
      <c r="M100" s="3">
        <v>22.0</v>
      </c>
    </row>
    <row r="101" ht="15.75" customHeight="1">
      <c r="A101" s="3" t="s">
        <v>132</v>
      </c>
      <c r="B101" s="3">
        <v>1.7640147E9</v>
      </c>
      <c r="C101" s="3" t="s">
        <v>37</v>
      </c>
      <c r="D101" s="3" t="s">
        <v>15</v>
      </c>
      <c r="E101" s="3">
        <v>15.3</v>
      </c>
      <c r="F101" s="3" t="s">
        <v>28</v>
      </c>
      <c r="G101" s="3">
        <f t="shared" si="1"/>
        <v>1</v>
      </c>
      <c r="H101" s="3" t="s">
        <v>66</v>
      </c>
      <c r="I101" s="3">
        <v>569.0</v>
      </c>
      <c r="J101" s="3" t="s">
        <v>17</v>
      </c>
      <c r="L101" s="4">
        <v>45985.83680555555</v>
      </c>
      <c r="M101" s="3">
        <v>20.0</v>
      </c>
    </row>
    <row r="102" ht="15.75" customHeight="1">
      <c r="A102" s="3" t="s">
        <v>133</v>
      </c>
      <c r="B102" s="3">
        <v>1.76410242E9</v>
      </c>
      <c r="C102" s="3" t="s">
        <v>19</v>
      </c>
      <c r="D102" s="3" t="s">
        <v>27</v>
      </c>
      <c r="E102" s="3">
        <v>30.52</v>
      </c>
      <c r="F102" s="3" t="s">
        <v>16</v>
      </c>
      <c r="G102" s="3">
        <f t="shared" si="1"/>
        <v>0</v>
      </c>
      <c r="I102" s="3">
        <v>201.0</v>
      </c>
      <c r="J102" s="3" t="s">
        <v>17</v>
      </c>
      <c r="L102" s="4">
        <v>45986.85208333333</v>
      </c>
      <c r="M102" s="3">
        <v>20.0</v>
      </c>
    </row>
    <row r="103" ht="15.75" customHeight="1">
      <c r="A103" s="3" t="s">
        <v>134</v>
      </c>
      <c r="B103" s="3">
        <v>1.76408286E9</v>
      </c>
      <c r="C103" s="3" t="s">
        <v>37</v>
      </c>
      <c r="D103" s="3" t="s">
        <v>27</v>
      </c>
      <c r="E103" s="3">
        <v>48.96</v>
      </c>
      <c r="F103" s="3" t="s">
        <v>16</v>
      </c>
      <c r="G103" s="3">
        <f t="shared" si="1"/>
        <v>0</v>
      </c>
      <c r="I103" s="3">
        <v>345.0</v>
      </c>
      <c r="J103" s="3" t="s">
        <v>17</v>
      </c>
      <c r="L103" s="4">
        <v>45986.62569444445</v>
      </c>
      <c r="M103" s="3">
        <v>15.0</v>
      </c>
    </row>
    <row r="104" ht="15.75" customHeight="1">
      <c r="A104" s="3" t="s">
        <v>135</v>
      </c>
      <c r="B104" s="3">
        <v>1.76450844E9</v>
      </c>
      <c r="C104" s="3" t="s">
        <v>24</v>
      </c>
      <c r="D104" s="3" t="s">
        <v>35</v>
      </c>
      <c r="E104" s="3">
        <v>27.17</v>
      </c>
      <c r="F104" s="3" t="s">
        <v>16</v>
      </c>
      <c r="G104" s="3">
        <f t="shared" si="1"/>
        <v>0</v>
      </c>
      <c r="I104" s="3">
        <v>380.0</v>
      </c>
      <c r="J104" s="3" t="s">
        <v>17</v>
      </c>
      <c r="L104" s="4">
        <v>45991.55138888889</v>
      </c>
      <c r="M104" s="3">
        <v>13.0</v>
      </c>
    </row>
    <row r="105" ht="15.75" customHeight="1">
      <c r="A105" s="3" t="s">
        <v>136</v>
      </c>
      <c r="B105" s="3">
        <v>1.76422566E9</v>
      </c>
      <c r="C105" s="3" t="s">
        <v>24</v>
      </c>
      <c r="D105" s="3" t="s">
        <v>35</v>
      </c>
      <c r="E105" s="3">
        <v>41.31</v>
      </c>
      <c r="F105" s="3" t="s">
        <v>16</v>
      </c>
      <c r="G105" s="3">
        <f t="shared" si="1"/>
        <v>0</v>
      </c>
      <c r="I105" s="3">
        <v>415.0</v>
      </c>
      <c r="J105" s="3" t="s">
        <v>17</v>
      </c>
      <c r="L105" s="4">
        <v>45988.27847222222</v>
      </c>
      <c r="M105" s="3">
        <v>6.0</v>
      </c>
    </row>
    <row r="106" ht="15.75" customHeight="1">
      <c r="A106" s="3" t="s">
        <v>137</v>
      </c>
      <c r="B106" s="3">
        <v>1.76444214E9</v>
      </c>
      <c r="C106" s="3" t="s">
        <v>19</v>
      </c>
      <c r="D106" s="3" t="s">
        <v>15</v>
      </c>
      <c r="E106" s="3">
        <v>22.65</v>
      </c>
      <c r="F106" s="3" t="s">
        <v>16</v>
      </c>
      <c r="G106" s="3">
        <f t="shared" si="1"/>
        <v>0</v>
      </c>
      <c r="I106" s="3">
        <v>188.0</v>
      </c>
      <c r="J106" s="3" t="s">
        <v>17</v>
      </c>
      <c r="L106" s="4">
        <v>45990.78402777778</v>
      </c>
      <c r="M106" s="3">
        <v>18.0</v>
      </c>
    </row>
    <row r="107" ht="15.75" customHeight="1">
      <c r="A107" s="3" t="s">
        <v>138</v>
      </c>
      <c r="B107" s="3">
        <v>1.76419488E9</v>
      </c>
      <c r="C107" s="3" t="s">
        <v>19</v>
      </c>
      <c r="D107" s="3" t="s">
        <v>35</v>
      </c>
      <c r="E107" s="3">
        <v>41.9</v>
      </c>
      <c r="F107" s="3" t="s">
        <v>16</v>
      </c>
      <c r="G107" s="3">
        <f t="shared" si="1"/>
        <v>0</v>
      </c>
      <c r="I107" s="3">
        <v>68.0</v>
      </c>
      <c r="J107" s="3" t="s">
        <v>17</v>
      </c>
      <c r="L107" s="4">
        <v>45987.92222222222</v>
      </c>
      <c r="M107" s="3">
        <v>22.0</v>
      </c>
    </row>
    <row r="108" ht="15.75" customHeight="1">
      <c r="A108" s="3" t="s">
        <v>139</v>
      </c>
      <c r="B108" s="3">
        <v>1.76445822E9</v>
      </c>
      <c r="C108" s="3" t="s">
        <v>14</v>
      </c>
      <c r="D108" s="3" t="s">
        <v>15</v>
      </c>
      <c r="E108" s="3">
        <v>46.45</v>
      </c>
      <c r="F108" s="3" t="s">
        <v>16</v>
      </c>
      <c r="G108" s="3">
        <f t="shared" si="1"/>
        <v>0</v>
      </c>
      <c r="I108" s="3">
        <v>40.0</v>
      </c>
      <c r="J108" s="3" t="s">
        <v>17</v>
      </c>
      <c r="L108" s="4">
        <v>45990.97013888889</v>
      </c>
      <c r="M108" s="3">
        <v>23.0</v>
      </c>
    </row>
    <row r="109" ht="15.75" customHeight="1">
      <c r="A109" s="3" t="s">
        <v>140</v>
      </c>
      <c r="B109" s="3">
        <v>1.76410986E9</v>
      </c>
      <c r="C109" s="3" t="s">
        <v>24</v>
      </c>
      <c r="D109" s="3" t="s">
        <v>15</v>
      </c>
      <c r="E109" s="3">
        <v>21.22</v>
      </c>
      <c r="F109" s="3" t="s">
        <v>16</v>
      </c>
      <c r="G109" s="3">
        <f t="shared" si="1"/>
        <v>0</v>
      </c>
      <c r="I109" s="3">
        <v>90.0</v>
      </c>
      <c r="J109" s="3" t="s">
        <v>17</v>
      </c>
      <c r="L109" s="4">
        <v>45986.93819444445</v>
      </c>
      <c r="M109" s="3">
        <v>22.0</v>
      </c>
    </row>
    <row r="110" ht="15.75" customHeight="1">
      <c r="A110" s="3" t="s">
        <v>141</v>
      </c>
      <c r="B110" s="3">
        <v>1.7641005E9</v>
      </c>
      <c r="C110" s="3" t="s">
        <v>19</v>
      </c>
      <c r="D110" s="3" t="s">
        <v>32</v>
      </c>
      <c r="E110" s="3">
        <v>50.31</v>
      </c>
      <c r="F110" s="3" t="s">
        <v>16</v>
      </c>
      <c r="G110" s="3">
        <f t="shared" si="1"/>
        <v>0</v>
      </c>
      <c r="I110" s="3">
        <v>267.0</v>
      </c>
      <c r="J110" s="3" t="s">
        <v>17</v>
      </c>
      <c r="L110" s="4">
        <v>45986.82986111111</v>
      </c>
      <c r="M110" s="3">
        <v>19.0</v>
      </c>
    </row>
    <row r="111" ht="15.75" customHeight="1">
      <c r="A111" s="3" t="s">
        <v>142</v>
      </c>
      <c r="B111" s="3">
        <v>1.7642127E9</v>
      </c>
      <c r="C111" s="3" t="s">
        <v>24</v>
      </c>
      <c r="D111" s="3" t="s">
        <v>22</v>
      </c>
      <c r="E111" s="3">
        <v>18.76</v>
      </c>
      <c r="F111" s="3" t="s">
        <v>16</v>
      </c>
      <c r="G111" s="3">
        <f t="shared" si="1"/>
        <v>0</v>
      </c>
      <c r="I111" s="3">
        <v>147.0</v>
      </c>
      <c r="J111" s="3" t="s">
        <v>17</v>
      </c>
      <c r="L111" s="4">
        <v>45988.12847222222</v>
      </c>
      <c r="M111" s="3">
        <v>3.0</v>
      </c>
    </row>
    <row r="112" ht="15.75" customHeight="1">
      <c r="A112" s="3" t="s">
        <v>143</v>
      </c>
      <c r="B112" s="3">
        <v>1.76435946E9</v>
      </c>
      <c r="C112" s="3" t="s">
        <v>21</v>
      </c>
      <c r="D112" s="3" t="s">
        <v>32</v>
      </c>
      <c r="E112" s="3">
        <v>40.77</v>
      </c>
      <c r="F112" s="3" t="s">
        <v>16</v>
      </c>
      <c r="G112" s="3">
        <f t="shared" si="1"/>
        <v>0</v>
      </c>
      <c r="I112" s="3">
        <v>493.0</v>
      </c>
      <c r="J112" s="3" t="s">
        <v>17</v>
      </c>
      <c r="L112" s="4">
        <v>45989.82708333333</v>
      </c>
      <c r="M112" s="3">
        <v>19.0</v>
      </c>
    </row>
    <row r="113" ht="15.75" customHeight="1">
      <c r="A113" s="3" t="s">
        <v>144</v>
      </c>
      <c r="B113" s="3">
        <v>1.76403672E9</v>
      </c>
      <c r="C113" s="3" t="s">
        <v>37</v>
      </c>
      <c r="D113" s="3" t="s">
        <v>32</v>
      </c>
      <c r="E113" s="3">
        <v>27.62</v>
      </c>
      <c r="F113" s="3" t="s">
        <v>16</v>
      </c>
      <c r="G113" s="3">
        <f t="shared" si="1"/>
        <v>0</v>
      </c>
      <c r="I113" s="3">
        <v>573.0</v>
      </c>
      <c r="J113" s="3" t="s">
        <v>17</v>
      </c>
      <c r="L113" s="4">
        <v>45986.09166666667</v>
      </c>
      <c r="M113" s="3">
        <v>2.0</v>
      </c>
    </row>
    <row r="114" ht="15.75" customHeight="1">
      <c r="A114" s="3" t="s">
        <v>145</v>
      </c>
      <c r="B114" s="3">
        <v>1.76433684E9</v>
      </c>
      <c r="C114" s="3" t="s">
        <v>14</v>
      </c>
      <c r="D114" s="3" t="s">
        <v>22</v>
      </c>
      <c r="E114" s="3">
        <v>25.83</v>
      </c>
      <c r="F114" s="3" t="s">
        <v>28</v>
      </c>
      <c r="G114" s="3">
        <f t="shared" si="1"/>
        <v>1</v>
      </c>
      <c r="H114" s="3" t="s">
        <v>66</v>
      </c>
      <c r="I114" s="3">
        <v>446.0</v>
      </c>
      <c r="J114" s="3" t="s">
        <v>17</v>
      </c>
      <c r="L114" s="4">
        <v>45989.56527777778</v>
      </c>
      <c r="M114" s="3">
        <v>13.0</v>
      </c>
    </row>
    <row r="115" ht="15.75" customHeight="1">
      <c r="A115" s="3" t="s">
        <v>146</v>
      </c>
      <c r="B115" s="3">
        <v>1.76415114E9</v>
      </c>
      <c r="C115" s="3" t="s">
        <v>21</v>
      </c>
      <c r="D115" s="3" t="s">
        <v>35</v>
      </c>
      <c r="E115" s="3">
        <v>17.1</v>
      </c>
      <c r="F115" s="3" t="s">
        <v>16</v>
      </c>
      <c r="G115" s="3">
        <f t="shared" si="1"/>
        <v>0</v>
      </c>
      <c r="I115" s="3">
        <v>524.0</v>
      </c>
      <c r="J115" s="3" t="s">
        <v>17</v>
      </c>
      <c r="L115" s="4">
        <v>45987.41597222222</v>
      </c>
      <c r="M115" s="3">
        <v>9.0</v>
      </c>
    </row>
    <row r="116" ht="15.75" customHeight="1">
      <c r="A116" s="3" t="s">
        <v>147</v>
      </c>
      <c r="B116" s="3">
        <v>1.76448684E9</v>
      </c>
      <c r="C116" s="3" t="s">
        <v>14</v>
      </c>
      <c r="D116" s="3" t="s">
        <v>22</v>
      </c>
      <c r="E116" s="3">
        <v>44.38</v>
      </c>
      <c r="F116" s="3" t="s">
        <v>16</v>
      </c>
      <c r="G116" s="3">
        <f t="shared" si="1"/>
        <v>0</v>
      </c>
      <c r="I116" s="3">
        <v>474.0</v>
      </c>
      <c r="J116" s="3" t="s">
        <v>17</v>
      </c>
      <c r="L116" s="4">
        <v>45991.30138888889</v>
      </c>
      <c r="M116" s="3">
        <v>7.0</v>
      </c>
    </row>
    <row r="117" ht="15.75" customHeight="1">
      <c r="A117" s="3" t="s">
        <v>148</v>
      </c>
      <c r="B117" s="3">
        <v>1.76418348E9</v>
      </c>
      <c r="C117" s="3" t="s">
        <v>14</v>
      </c>
      <c r="D117" s="3" t="s">
        <v>35</v>
      </c>
      <c r="E117" s="3">
        <v>36.04</v>
      </c>
      <c r="F117" s="3" t="s">
        <v>16</v>
      </c>
      <c r="G117" s="3">
        <f t="shared" si="1"/>
        <v>0</v>
      </c>
      <c r="I117" s="3">
        <v>268.0</v>
      </c>
      <c r="J117" s="3" t="s">
        <v>17</v>
      </c>
      <c r="L117" s="4">
        <v>45987.79027777778</v>
      </c>
      <c r="M117" s="3">
        <v>18.0</v>
      </c>
    </row>
    <row r="118" ht="15.75" customHeight="1">
      <c r="A118" s="3" t="s">
        <v>149</v>
      </c>
      <c r="B118" s="3">
        <v>1.76427816E9</v>
      </c>
      <c r="C118" s="3" t="s">
        <v>24</v>
      </c>
      <c r="D118" s="3" t="s">
        <v>15</v>
      </c>
      <c r="E118" s="3">
        <v>48.25</v>
      </c>
      <c r="F118" s="3" t="s">
        <v>28</v>
      </c>
      <c r="G118" s="3">
        <f t="shared" si="1"/>
        <v>1</v>
      </c>
      <c r="H118" s="3" t="s">
        <v>41</v>
      </c>
      <c r="I118" s="3">
        <v>455.0</v>
      </c>
      <c r="J118" s="3" t="s">
        <v>17</v>
      </c>
      <c r="L118" s="4">
        <v>45988.88611111111</v>
      </c>
      <c r="M118" s="3">
        <v>21.0</v>
      </c>
    </row>
    <row r="119" ht="15.75" customHeight="1">
      <c r="A119" s="3" t="s">
        <v>150</v>
      </c>
      <c r="B119" s="3">
        <v>1.76419326E9</v>
      </c>
      <c r="C119" s="3" t="s">
        <v>37</v>
      </c>
      <c r="D119" s="3" t="s">
        <v>15</v>
      </c>
      <c r="E119" s="3">
        <v>45.74</v>
      </c>
      <c r="F119" s="3" t="s">
        <v>16</v>
      </c>
      <c r="G119" s="3">
        <f t="shared" si="1"/>
        <v>0</v>
      </c>
      <c r="I119" s="3">
        <v>64.0</v>
      </c>
      <c r="J119" s="3" t="s">
        <v>17</v>
      </c>
      <c r="L119" s="4">
        <v>45987.90347222222</v>
      </c>
      <c r="M119" s="3">
        <v>21.0</v>
      </c>
    </row>
    <row r="120" ht="15.75" customHeight="1">
      <c r="A120" s="3" t="s">
        <v>151</v>
      </c>
      <c r="B120" s="3">
        <v>1.7640162E9</v>
      </c>
      <c r="C120" s="3" t="s">
        <v>21</v>
      </c>
      <c r="D120" s="3" t="s">
        <v>22</v>
      </c>
      <c r="E120" s="3">
        <v>27.1</v>
      </c>
      <c r="F120" s="3" t="s">
        <v>16</v>
      </c>
      <c r="G120" s="3">
        <f t="shared" si="1"/>
        <v>0</v>
      </c>
      <c r="I120" s="3">
        <v>261.0</v>
      </c>
      <c r="J120" s="3" t="s">
        <v>17</v>
      </c>
      <c r="L120" s="4">
        <v>45985.85416666666</v>
      </c>
      <c r="M120" s="3">
        <v>20.0</v>
      </c>
    </row>
    <row r="121" ht="15.75" customHeight="1">
      <c r="A121" s="3" t="s">
        <v>152</v>
      </c>
      <c r="B121" s="3">
        <v>1.76408694E9</v>
      </c>
      <c r="C121" s="3" t="s">
        <v>19</v>
      </c>
      <c r="D121" s="3" t="s">
        <v>32</v>
      </c>
      <c r="E121" s="3">
        <v>53.97</v>
      </c>
      <c r="F121" s="3" t="s">
        <v>28</v>
      </c>
      <c r="G121" s="3">
        <f t="shared" si="1"/>
        <v>1</v>
      </c>
      <c r="H121" s="3" t="s">
        <v>38</v>
      </c>
      <c r="I121" s="3">
        <v>660.0</v>
      </c>
      <c r="J121" s="3" t="s">
        <v>17</v>
      </c>
      <c r="L121" s="4">
        <v>45986.67291666667</v>
      </c>
      <c r="M121" s="3">
        <v>16.0</v>
      </c>
    </row>
    <row r="122" ht="15.75" customHeight="1">
      <c r="A122" s="3" t="s">
        <v>153</v>
      </c>
      <c r="B122" s="3">
        <v>1.76418426E9</v>
      </c>
      <c r="C122" s="3" t="s">
        <v>14</v>
      </c>
      <c r="D122" s="3" t="s">
        <v>32</v>
      </c>
      <c r="E122" s="3">
        <v>46.28</v>
      </c>
      <c r="F122" s="3" t="s">
        <v>16</v>
      </c>
      <c r="G122" s="3">
        <f t="shared" si="1"/>
        <v>0</v>
      </c>
      <c r="I122" s="3">
        <v>368.0</v>
      </c>
      <c r="J122" s="3" t="s">
        <v>17</v>
      </c>
      <c r="L122" s="4">
        <v>45987.79930555556</v>
      </c>
      <c r="M122" s="3">
        <v>19.0</v>
      </c>
    </row>
    <row r="123" ht="15.75" customHeight="1">
      <c r="A123" s="3" t="s">
        <v>154</v>
      </c>
      <c r="B123" s="3">
        <v>1.76396256E9</v>
      </c>
      <c r="C123" s="3" t="s">
        <v>21</v>
      </c>
      <c r="D123" s="3" t="s">
        <v>15</v>
      </c>
      <c r="E123" s="3">
        <v>20.21</v>
      </c>
      <c r="F123" s="3" t="s">
        <v>28</v>
      </c>
      <c r="G123" s="3">
        <f t="shared" si="1"/>
        <v>1</v>
      </c>
      <c r="H123" s="3" t="s">
        <v>96</v>
      </c>
      <c r="I123" s="3">
        <v>350.0</v>
      </c>
      <c r="J123" s="3" t="s">
        <v>17</v>
      </c>
      <c r="L123" s="4">
        <v>45985.23333333333</v>
      </c>
      <c r="M123" s="3">
        <v>5.0</v>
      </c>
    </row>
    <row r="124" ht="15.75" customHeight="1">
      <c r="A124" s="3" t="s">
        <v>155</v>
      </c>
      <c r="B124" s="3">
        <v>1.76450106E9</v>
      </c>
      <c r="C124" s="3" t="s">
        <v>21</v>
      </c>
      <c r="D124" s="3" t="s">
        <v>35</v>
      </c>
      <c r="E124" s="3">
        <v>24.67</v>
      </c>
      <c r="F124" s="3" t="s">
        <v>16</v>
      </c>
      <c r="G124" s="3">
        <f t="shared" si="1"/>
        <v>0</v>
      </c>
      <c r="I124" s="3">
        <v>99.0</v>
      </c>
      <c r="J124" s="3" t="s">
        <v>17</v>
      </c>
      <c r="L124" s="4">
        <v>45991.46597222222</v>
      </c>
      <c r="M124" s="3">
        <v>11.0</v>
      </c>
    </row>
    <row r="125" ht="15.75" customHeight="1">
      <c r="A125" s="3" t="s">
        <v>156</v>
      </c>
      <c r="B125" s="3">
        <v>1.7641392E9</v>
      </c>
      <c r="C125" s="3" t="s">
        <v>24</v>
      </c>
      <c r="D125" s="3" t="s">
        <v>32</v>
      </c>
      <c r="E125" s="3">
        <v>29.47</v>
      </c>
      <c r="F125" s="3" t="s">
        <v>16</v>
      </c>
      <c r="G125" s="3">
        <f t="shared" si="1"/>
        <v>0</v>
      </c>
      <c r="I125" s="3">
        <v>214.0</v>
      </c>
      <c r="J125" s="3" t="s">
        <v>17</v>
      </c>
      <c r="L125" s="4">
        <v>45987.27777777778</v>
      </c>
      <c r="M125" s="3">
        <v>6.0</v>
      </c>
    </row>
    <row r="126" ht="15.75" customHeight="1">
      <c r="A126" s="3" t="s">
        <v>157</v>
      </c>
      <c r="B126" s="3">
        <v>1.76445408E9</v>
      </c>
      <c r="C126" s="3" t="s">
        <v>14</v>
      </c>
      <c r="D126" s="3" t="s">
        <v>27</v>
      </c>
      <c r="E126" s="3">
        <v>14.38</v>
      </c>
      <c r="F126" s="3" t="s">
        <v>16</v>
      </c>
      <c r="G126" s="3">
        <f t="shared" si="1"/>
        <v>0</v>
      </c>
      <c r="I126" s="3">
        <v>574.0</v>
      </c>
      <c r="J126" s="3" t="s">
        <v>17</v>
      </c>
      <c r="L126" s="4">
        <v>45990.92222222222</v>
      </c>
      <c r="M126" s="3">
        <v>22.0</v>
      </c>
    </row>
    <row r="127" ht="15.75" customHeight="1">
      <c r="A127" s="3" t="s">
        <v>158</v>
      </c>
      <c r="B127" s="3">
        <v>1.76401302E9</v>
      </c>
      <c r="C127" s="3" t="s">
        <v>14</v>
      </c>
      <c r="D127" s="3" t="s">
        <v>35</v>
      </c>
      <c r="E127" s="3">
        <v>17.72</v>
      </c>
      <c r="F127" s="3" t="s">
        <v>16</v>
      </c>
      <c r="G127" s="3">
        <f t="shared" si="1"/>
        <v>0</v>
      </c>
      <c r="I127" s="3">
        <v>305.0</v>
      </c>
      <c r="J127" s="3" t="s">
        <v>17</v>
      </c>
      <c r="L127" s="4">
        <v>45985.81736111111</v>
      </c>
      <c r="M127" s="3">
        <v>19.0</v>
      </c>
    </row>
    <row r="128" ht="15.75" customHeight="1">
      <c r="A128" s="3" t="s">
        <v>159</v>
      </c>
      <c r="B128" s="3">
        <v>1.7643792E9</v>
      </c>
      <c r="C128" s="3" t="s">
        <v>14</v>
      </c>
      <c r="D128" s="3" t="s">
        <v>32</v>
      </c>
      <c r="E128" s="3">
        <v>27.73</v>
      </c>
      <c r="F128" s="3" t="s">
        <v>16</v>
      </c>
      <c r="G128" s="3">
        <f t="shared" si="1"/>
        <v>0</v>
      </c>
      <c r="I128" s="3">
        <v>218.0</v>
      </c>
      <c r="J128" s="3" t="s">
        <v>17</v>
      </c>
      <c r="L128" s="4">
        <v>45990.05555555555</v>
      </c>
      <c r="M128" s="3">
        <v>1.0</v>
      </c>
    </row>
    <row r="129" ht="15.75" customHeight="1">
      <c r="A129" s="3" t="s">
        <v>160</v>
      </c>
      <c r="B129" s="3">
        <v>1.76453892E9</v>
      </c>
      <c r="C129" s="3" t="s">
        <v>14</v>
      </c>
      <c r="D129" s="3" t="s">
        <v>22</v>
      </c>
      <c r="E129" s="3">
        <v>42.4</v>
      </c>
      <c r="F129" s="3" t="s">
        <v>16</v>
      </c>
      <c r="G129" s="3">
        <f t="shared" si="1"/>
        <v>0</v>
      </c>
      <c r="I129" s="3">
        <v>506.0</v>
      </c>
      <c r="J129" s="3" t="s">
        <v>17</v>
      </c>
      <c r="L129" s="4">
        <v>45991.90416666667</v>
      </c>
      <c r="M129" s="3">
        <v>21.0</v>
      </c>
    </row>
    <row r="130" ht="15.75" customHeight="1">
      <c r="A130" s="3" t="s">
        <v>161</v>
      </c>
      <c r="B130" s="3">
        <v>1.76431452E9</v>
      </c>
      <c r="C130" s="3" t="s">
        <v>21</v>
      </c>
      <c r="D130" s="3" t="s">
        <v>15</v>
      </c>
      <c r="E130" s="3">
        <v>40.06</v>
      </c>
      <c r="F130" s="3" t="s">
        <v>28</v>
      </c>
      <c r="G130" s="3">
        <f t="shared" si="1"/>
        <v>1</v>
      </c>
      <c r="H130" s="3" t="s">
        <v>41</v>
      </c>
      <c r="I130" s="3">
        <v>40.0</v>
      </c>
      <c r="J130" s="3" t="s">
        <v>17</v>
      </c>
      <c r="L130" s="4">
        <v>45989.30694444444</v>
      </c>
      <c r="M130" s="3">
        <v>7.0</v>
      </c>
    </row>
    <row r="131" ht="15.75" customHeight="1">
      <c r="A131" s="3" t="s">
        <v>162</v>
      </c>
      <c r="B131" s="3">
        <v>1.76405148E9</v>
      </c>
      <c r="C131" s="3" t="s">
        <v>21</v>
      </c>
      <c r="D131" s="3" t="s">
        <v>15</v>
      </c>
      <c r="E131" s="3">
        <v>20.44</v>
      </c>
      <c r="F131" s="3" t="s">
        <v>28</v>
      </c>
      <c r="G131" s="3">
        <f t="shared" si="1"/>
        <v>1</v>
      </c>
      <c r="H131" s="3" t="s">
        <v>38</v>
      </c>
      <c r="I131" s="3">
        <v>424.0</v>
      </c>
      <c r="J131" s="3" t="s">
        <v>17</v>
      </c>
      <c r="L131" s="4">
        <v>45986.2625</v>
      </c>
      <c r="M131" s="3">
        <v>6.0</v>
      </c>
    </row>
    <row r="132" ht="15.75" customHeight="1">
      <c r="A132" s="3" t="s">
        <v>163</v>
      </c>
      <c r="B132" s="3">
        <v>1.76410542E9</v>
      </c>
      <c r="C132" s="3" t="s">
        <v>37</v>
      </c>
      <c r="D132" s="3" t="s">
        <v>35</v>
      </c>
      <c r="E132" s="3">
        <v>27.08</v>
      </c>
      <c r="F132" s="3" t="s">
        <v>16</v>
      </c>
      <c r="G132" s="3">
        <f t="shared" si="1"/>
        <v>0</v>
      </c>
      <c r="I132" s="3">
        <v>454.0</v>
      </c>
      <c r="J132" s="3" t="s">
        <v>17</v>
      </c>
      <c r="L132" s="4">
        <v>45986.88680555556</v>
      </c>
      <c r="M132" s="3">
        <v>21.0</v>
      </c>
    </row>
    <row r="133" ht="15.75" customHeight="1">
      <c r="A133" s="3" t="s">
        <v>164</v>
      </c>
      <c r="B133" s="3">
        <v>1.76405796E9</v>
      </c>
      <c r="C133" s="3" t="s">
        <v>19</v>
      </c>
      <c r="D133" s="3" t="s">
        <v>15</v>
      </c>
      <c r="E133" s="3">
        <v>18.13</v>
      </c>
      <c r="F133" s="3" t="s">
        <v>28</v>
      </c>
      <c r="G133" s="3">
        <f t="shared" si="1"/>
        <v>1</v>
      </c>
      <c r="H133" s="3" t="s">
        <v>38</v>
      </c>
      <c r="I133" s="3">
        <v>373.0</v>
      </c>
      <c r="J133" s="3" t="s">
        <v>17</v>
      </c>
      <c r="L133" s="4">
        <v>45986.3375</v>
      </c>
      <c r="M133" s="3">
        <v>8.0</v>
      </c>
    </row>
    <row r="134" ht="15.75" customHeight="1">
      <c r="A134" s="3" t="s">
        <v>165</v>
      </c>
      <c r="B134" s="3">
        <v>1.76419074E9</v>
      </c>
      <c r="C134" s="3" t="s">
        <v>19</v>
      </c>
      <c r="D134" s="3" t="s">
        <v>22</v>
      </c>
      <c r="E134" s="3">
        <v>14.51</v>
      </c>
      <c r="F134" s="3" t="s">
        <v>28</v>
      </c>
      <c r="G134" s="3">
        <f t="shared" si="1"/>
        <v>1</v>
      </c>
      <c r="H134" s="3" t="s">
        <v>96</v>
      </c>
      <c r="I134" s="3">
        <v>367.0</v>
      </c>
      <c r="J134" s="3" t="s">
        <v>30</v>
      </c>
      <c r="L134" s="4">
        <v>45987.87430555555</v>
      </c>
      <c r="M134" s="3">
        <v>20.0</v>
      </c>
    </row>
    <row r="135" ht="15.75" customHeight="1">
      <c r="A135" s="3" t="s">
        <v>166</v>
      </c>
      <c r="B135" s="3">
        <v>1.76418672E9</v>
      </c>
      <c r="C135" s="3" t="s">
        <v>14</v>
      </c>
      <c r="D135" s="3" t="s">
        <v>15</v>
      </c>
      <c r="E135" s="3">
        <v>42.12</v>
      </c>
      <c r="F135" s="3" t="s">
        <v>16</v>
      </c>
      <c r="G135" s="3">
        <f t="shared" si="1"/>
        <v>0</v>
      </c>
      <c r="I135" s="3">
        <v>530.0</v>
      </c>
      <c r="J135" s="3" t="s">
        <v>17</v>
      </c>
      <c r="L135" s="4">
        <v>45987.82777777778</v>
      </c>
      <c r="M135" s="3">
        <v>19.0</v>
      </c>
    </row>
    <row r="136" ht="15.75" customHeight="1">
      <c r="A136" s="3" t="s">
        <v>167</v>
      </c>
      <c r="B136" s="3">
        <v>1.76430936E9</v>
      </c>
      <c r="C136" s="3" t="s">
        <v>14</v>
      </c>
      <c r="D136" s="3" t="s">
        <v>22</v>
      </c>
      <c r="E136" s="3">
        <v>41.92</v>
      </c>
      <c r="F136" s="3" t="s">
        <v>16</v>
      </c>
      <c r="G136" s="3">
        <f t="shared" si="1"/>
        <v>0</v>
      </c>
      <c r="I136" s="3">
        <v>339.0</v>
      </c>
      <c r="J136" s="3" t="s">
        <v>17</v>
      </c>
      <c r="L136" s="4">
        <v>45989.24722222222</v>
      </c>
      <c r="M136" s="3">
        <v>5.0</v>
      </c>
    </row>
    <row r="137" ht="15.75" customHeight="1">
      <c r="A137" s="3" t="s">
        <v>168</v>
      </c>
      <c r="B137" s="3">
        <v>1.76438496E9</v>
      </c>
      <c r="C137" s="3" t="s">
        <v>14</v>
      </c>
      <c r="D137" s="3" t="s">
        <v>15</v>
      </c>
      <c r="E137" s="3">
        <v>17.45</v>
      </c>
      <c r="F137" s="3" t="s">
        <v>16</v>
      </c>
      <c r="G137" s="3">
        <f t="shared" si="1"/>
        <v>0</v>
      </c>
      <c r="I137" s="3">
        <v>328.0</v>
      </c>
      <c r="J137" s="3" t="s">
        <v>17</v>
      </c>
      <c r="L137" s="4">
        <v>45990.12222222222</v>
      </c>
      <c r="M137" s="3">
        <v>2.0</v>
      </c>
    </row>
    <row r="138" ht="15.75" customHeight="1">
      <c r="A138" s="3" t="s">
        <v>169</v>
      </c>
      <c r="B138" s="3">
        <v>1.76427174E9</v>
      </c>
      <c r="C138" s="3" t="s">
        <v>24</v>
      </c>
      <c r="D138" s="3" t="s">
        <v>35</v>
      </c>
      <c r="E138" s="3">
        <v>27.57</v>
      </c>
      <c r="F138" s="3" t="s">
        <v>16</v>
      </c>
      <c r="G138" s="3">
        <f t="shared" si="1"/>
        <v>0</v>
      </c>
      <c r="I138" s="3">
        <v>526.0</v>
      </c>
      <c r="J138" s="3" t="s">
        <v>17</v>
      </c>
      <c r="L138" s="4">
        <v>45988.81180555555</v>
      </c>
      <c r="M138" s="3">
        <v>19.0</v>
      </c>
    </row>
    <row r="139" ht="15.75" customHeight="1">
      <c r="A139" s="3" t="s">
        <v>170</v>
      </c>
      <c r="B139" s="3">
        <v>1.7640549E9</v>
      </c>
      <c r="C139" s="3" t="s">
        <v>37</v>
      </c>
      <c r="D139" s="3" t="s">
        <v>32</v>
      </c>
      <c r="E139" s="3">
        <v>50.23</v>
      </c>
      <c r="F139" s="3" t="s">
        <v>16</v>
      </c>
      <c r="G139" s="3">
        <f t="shared" si="1"/>
        <v>0</v>
      </c>
      <c r="I139" s="3">
        <v>354.0</v>
      </c>
      <c r="J139" s="3" t="s">
        <v>17</v>
      </c>
      <c r="L139" s="4">
        <v>45986.30208333334</v>
      </c>
      <c r="M139" s="3">
        <v>7.0</v>
      </c>
    </row>
    <row r="140" ht="15.75" customHeight="1">
      <c r="A140" s="3" t="s">
        <v>171</v>
      </c>
      <c r="B140" s="3">
        <v>1.76410554E9</v>
      </c>
      <c r="C140" s="3" t="s">
        <v>37</v>
      </c>
      <c r="D140" s="3" t="s">
        <v>15</v>
      </c>
      <c r="E140" s="3">
        <v>21.55</v>
      </c>
      <c r="F140" s="3" t="s">
        <v>16</v>
      </c>
      <c r="G140" s="3">
        <f t="shared" si="1"/>
        <v>0</v>
      </c>
      <c r="I140" s="3">
        <v>449.0</v>
      </c>
      <c r="J140" s="3" t="s">
        <v>17</v>
      </c>
      <c r="L140" s="4">
        <v>45986.88819444444</v>
      </c>
      <c r="M140" s="3">
        <v>21.0</v>
      </c>
    </row>
    <row r="141" ht="15.75" customHeight="1">
      <c r="A141" s="3" t="s">
        <v>172</v>
      </c>
      <c r="B141" s="3">
        <v>1.7640219E9</v>
      </c>
      <c r="C141" s="3" t="s">
        <v>37</v>
      </c>
      <c r="D141" s="3" t="s">
        <v>35</v>
      </c>
      <c r="E141" s="3">
        <v>49.64</v>
      </c>
      <c r="F141" s="3" t="s">
        <v>16</v>
      </c>
      <c r="G141" s="3">
        <f t="shared" si="1"/>
        <v>0</v>
      </c>
      <c r="I141" s="3">
        <v>408.0</v>
      </c>
      <c r="J141" s="3" t="s">
        <v>17</v>
      </c>
      <c r="L141" s="4">
        <v>45985.92013888889</v>
      </c>
      <c r="M141" s="3">
        <v>22.0</v>
      </c>
    </row>
    <row r="142" ht="15.75" customHeight="1">
      <c r="A142" s="3" t="s">
        <v>173</v>
      </c>
      <c r="B142" s="3">
        <v>1.7642781E9</v>
      </c>
      <c r="C142" s="3" t="s">
        <v>37</v>
      </c>
      <c r="D142" s="3" t="s">
        <v>35</v>
      </c>
      <c r="E142" s="3">
        <v>52.67</v>
      </c>
      <c r="F142" s="3" t="s">
        <v>16</v>
      </c>
      <c r="G142" s="3">
        <f t="shared" si="1"/>
        <v>0</v>
      </c>
      <c r="I142" s="3">
        <v>514.0</v>
      </c>
      <c r="J142" s="3" t="s">
        <v>17</v>
      </c>
      <c r="L142" s="4">
        <v>45988.88541666666</v>
      </c>
      <c r="M142" s="3">
        <v>21.0</v>
      </c>
    </row>
    <row r="143" ht="15.75" customHeight="1">
      <c r="A143" s="3" t="s">
        <v>174</v>
      </c>
      <c r="B143" s="3">
        <v>1.76447808E9</v>
      </c>
      <c r="C143" s="3" t="s">
        <v>21</v>
      </c>
      <c r="D143" s="3" t="s">
        <v>15</v>
      </c>
      <c r="E143" s="3">
        <v>26.03</v>
      </c>
      <c r="F143" s="3" t="s">
        <v>16</v>
      </c>
      <c r="G143" s="3">
        <f t="shared" si="1"/>
        <v>0</v>
      </c>
      <c r="I143" s="3">
        <v>312.0</v>
      </c>
      <c r="J143" s="3" t="s">
        <v>17</v>
      </c>
      <c r="L143" s="4">
        <v>45991.2</v>
      </c>
      <c r="M143" s="3">
        <v>4.0</v>
      </c>
    </row>
    <row r="144" ht="15.75" customHeight="1">
      <c r="A144" s="3" t="s">
        <v>175</v>
      </c>
      <c r="B144" s="3">
        <v>1.76454636E9</v>
      </c>
      <c r="C144" s="3" t="s">
        <v>21</v>
      </c>
      <c r="D144" s="3" t="s">
        <v>22</v>
      </c>
      <c r="E144" s="3">
        <v>15.73</v>
      </c>
      <c r="F144" s="3" t="s">
        <v>16</v>
      </c>
      <c r="G144" s="3">
        <f t="shared" si="1"/>
        <v>0</v>
      </c>
      <c r="I144" s="3">
        <v>344.0</v>
      </c>
      <c r="J144" s="3" t="s">
        <v>17</v>
      </c>
      <c r="L144" s="4">
        <v>45991.99027777778</v>
      </c>
      <c r="M144" s="3">
        <v>23.0</v>
      </c>
    </row>
    <row r="145" ht="15.75" customHeight="1">
      <c r="A145" s="3" t="s">
        <v>176</v>
      </c>
      <c r="B145" s="3">
        <v>1.7645127E9</v>
      </c>
      <c r="C145" s="3" t="s">
        <v>19</v>
      </c>
      <c r="D145" s="3" t="s">
        <v>32</v>
      </c>
      <c r="E145" s="3">
        <v>42.74</v>
      </c>
      <c r="F145" s="3" t="s">
        <v>16</v>
      </c>
      <c r="G145" s="3">
        <f t="shared" si="1"/>
        <v>0</v>
      </c>
      <c r="I145" s="3">
        <v>543.0</v>
      </c>
      <c r="J145" s="3" t="s">
        <v>17</v>
      </c>
      <c r="L145" s="4">
        <v>45991.60069444445</v>
      </c>
      <c r="M145" s="3">
        <v>14.0</v>
      </c>
    </row>
    <row r="146" ht="15.75" customHeight="1">
      <c r="A146" s="3" t="s">
        <v>177</v>
      </c>
      <c r="B146" s="3">
        <v>1.76454162E9</v>
      </c>
      <c r="C146" s="3" t="s">
        <v>24</v>
      </c>
      <c r="D146" s="3" t="s">
        <v>35</v>
      </c>
      <c r="E146" s="3">
        <v>31.15</v>
      </c>
      <c r="F146" s="3" t="s">
        <v>16</v>
      </c>
      <c r="G146" s="3">
        <f t="shared" si="1"/>
        <v>0</v>
      </c>
      <c r="I146" s="3">
        <v>333.0</v>
      </c>
      <c r="J146" s="3" t="s">
        <v>17</v>
      </c>
      <c r="L146" s="4">
        <v>45991.93541666667</v>
      </c>
      <c r="M146" s="3">
        <v>22.0</v>
      </c>
    </row>
    <row r="147" ht="15.75" customHeight="1">
      <c r="A147" s="3" t="s">
        <v>178</v>
      </c>
      <c r="B147" s="3">
        <v>1.76428128E9</v>
      </c>
      <c r="C147" s="3" t="s">
        <v>37</v>
      </c>
      <c r="D147" s="3" t="s">
        <v>35</v>
      </c>
      <c r="E147" s="3">
        <v>31.89</v>
      </c>
      <c r="F147" s="3" t="s">
        <v>16</v>
      </c>
      <c r="G147" s="3">
        <f t="shared" si="1"/>
        <v>0</v>
      </c>
      <c r="I147" s="3">
        <v>381.0</v>
      </c>
      <c r="J147" s="3" t="s">
        <v>17</v>
      </c>
      <c r="L147" s="4">
        <v>45988.92222222222</v>
      </c>
      <c r="M147" s="3">
        <v>22.0</v>
      </c>
    </row>
    <row r="148" ht="15.75" customHeight="1">
      <c r="A148" s="3" t="s">
        <v>179</v>
      </c>
      <c r="B148" s="3">
        <v>1.76402736E9</v>
      </c>
      <c r="C148" s="3" t="s">
        <v>19</v>
      </c>
      <c r="D148" s="3" t="s">
        <v>35</v>
      </c>
      <c r="E148" s="3">
        <v>38.51</v>
      </c>
      <c r="F148" s="3" t="s">
        <v>16</v>
      </c>
      <c r="G148" s="3">
        <f t="shared" si="1"/>
        <v>0</v>
      </c>
      <c r="I148" s="3">
        <v>498.0</v>
      </c>
      <c r="J148" s="3" t="s">
        <v>17</v>
      </c>
      <c r="L148" s="4">
        <v>45985.98333333333</v>
      </c>
      <c r="M148" s="3">
        <v>23.0</v>
      </c>
    </row>
    <row r="149" ht="15.75" customHeight="1">
      <c r="A149" s="3" t="s">
        <v>180</v>
      </c>
      <c r="B149" s="3">
        <v>1.764018E9</v>
      </c>
      <c r="C149" s="3" t="s">
        <v>37</v>
      </c>
      <c r="D149" s="3" t="s">
        <v>15</v>
      </c>
      <c r="E149" s="3">
        <v>22.06</v>
      </c>
      <c r="F149" s="3" t="s">
        <v>16</v>
      </c>
      <c r="G149" s="3">
        <f t="shared" si="1"/>
        <v>0</v>
      </c>
      <c r="I149" s="3">
        <v>348.0</v>
      </c>
      <c r="J149" s="3" t="s">
        <v>17</v>
      </c>
      <c r="L149" s="4">
        <v>45985.875</v>
      </c>
      <c r="M149" s="3">
        <v>21.0</v>
      </c>
    </row>
    <row r="150" ht="15.75" customHeight="1">
      <c r="A150" s="3" t="s">
        <v>181</v>
      </c>
      <c r="B150" s="3">
        <v>1.7641971E9</v>
      </c>
      <c r="C150" s="3" t="s">
        <v>21</v>
      </c>
      <c r="D150" s="3" t="s">
        <v>22</v>
      </c>
      <c r="E150" s="3">
        <v>38.71</v>
      </c>
      <c r="F150" s="3" t="s">
        <v>16</v>
      </c>
      <c r="G150" s="3">
        <f t="shared" si="1"/>
        <v>0</v>
      </c>
      <c r="I150" s="3">
        <v>432.0</v>
      </c>
      <c r="J150" s="3" t="s">
        <v>17</v>
      </c>
      <c r="L150" s="4">
        <v>45987.94791666666</v>
      </c>
      <c r="M150" s="3">
        <v>22.0</v>
      </c>
    </row>
    <row r="151" ht="15.75" customHeight="1">
      <c r="A151" s="3" t="s">
        <v>182</v>
      </c>
      <c r="B151" s="3">
        <v>1.76415654E9</v>
      </c>
      <c r="C151" s="3" t="s">
        <v>37</v>
      </c>
      <c r="D151" s="3" t="s">
        <v>32</v>
      </c>
      <c r="E151" s="3">
        <v>21.3</v>
      </c>
      <c r="F151" s="3" t="s">
        <v>28</v>
      </c>
      <c r="G151" s="3">
        <f t="shared" si="1"/>
        <v>1</v>
      </c>
      <c r="H151" s="3" t="s">
        <v>38</v>
      </c>
      <c r="I151" s="3">
        <v>350.0</v>
      </c>
      <c r="J151" s="3" t="s">
        <v>17</v>
      </c>
      <c r="L151" s="4">
        <v>45987.47847222222</v>
      </c>
      <c r="M151" s="3">
        <v>11.0</v>
      </c>
    </row>
    <row r="152" ht="15.75" customHeight="1">
      <c r="A152" s="3" t="s">
        <v>183</v>
      </c>
      <c r="B152" s="3">
        <v>1.76419038E9</v>
      </c>
      <c r="C152" s="3" t="s">
        <v>24</v>
      </c>
      <c r="D152" s="3" t="s">
        <v>32</v>
      </c>
      <c r="E152" s="3">
        <v>18.9</v>
      </c>
      <c r="F152" s="3" t="s">
        <v>16</v>
      </c>
      <c r="G152" s="3">
        <f t="shared" si="1"/>
        <v>0</v>
      </c>
      <c r="I152" s="3">
        <v>448.0</v>
      </c>
      <c r="J152" s="3" t="s">
        <v>17</v>
      </c>
      <c r="L152" s="4">
        <v>45987.87013888889</v>
      </c>
      <c r="M152" s="3">
        <v>20.0</v>
      </c>
    </row>
    <row r="153" ht="15.75" customHeight="1">
      <c r="A153" s="3" t="s">
        <v>184</v>
      </c>
      <c r="B153" s="3">
        <v>1.76395236E9</v>
      </c>
      <c r="C153" s="3" t="s">
        <v>24</v>
      </c>
      <c r="D153" s="3" t="s">
        <v>32</v>
      </c>
      <c r="E153" s="3">
        <v>25.16</v>
      </c>
      <c r="F153" s="3" t="s">
        <v>16</v>
      </c>
      <c r="G153" s="3">
        <f t="shared" si="1"/>
        <v>0</v>
      </c>
      <c r="I153" s="3">
        <v>152.0</v>
      </c>
      <c r="J153" s="3" t="s">
        <v>17</v>
      </c>
      <c r="L153" s="4">
        <v>45985.11527777778</v>
      </c>
      <c r="M153" s="3">
        <v>2.0</v>
      </c>
    </row>
    <row r="154" ht="15.75" customHeight="1">
      <c r="A154" s="3" t="s">
        <v>185</v>
      </c>
      <c r="B154" s="3">
        <v>1.7643582E9</v>
      </c>
      <c r="C154" s="3" t="s">
        <v>14</v>
      </c>
      <c r="D154" s="3" t="s">
        <v>35</v>
      </c>
      <c r="E154" s="3">
        <v>40.63</v>
      </c>
      <c r="F154" s="3" t="s">
        <v>16</v>
      </c>
      <c r="G154" s="3">
        <f t="shared" si="1"/>
        <v>0</v>
      </c>
      <c r="I154" s="3">
        <v>552.0</v>
      </c>
      <c r="J154" s="3" t="s">
        <v>17</v>
      </c>
      <c r="L154" s="4">
        <v>45989.8125</v>
      </c>
      <c r="M154" s="3">
        <v>19.0</v>
      </c>
    </row>
    <row r="155" ht="15.75" customHeight="1">
      <c r="A155" s="3" t="s">
        <v>186</v>
      </c>
      <c r="B155" s="3">
        <v>1.76426634E9</v>
      </c>
      <c r="C155" s="3" t="s">
        <v>21</v>
      </c>
      <c r="D155" s="3" t="s">
        <v>22</v>
      </c>
      <c r="E155" s="3">
        <v>42.26</v>
      </c>
      <c r="F155" s="3" t="s">
        <v>16</v>
      </c>
      <c r="G155" s="3">
        <f t="shared" si="1"/>
        <v>0</v>
      </c>
      <c r="I155" s="3">
        <v>172.0</v>
      </c>
      <c r="J155" s="3" t="s">
        <v>17</v>
      </c>
      <c r="L155" s="4">
        <v>45988.74930555555</v>
      </c>
      <c r="M155" s="3">
        <v>17.0</v>
      </c>
    </row>
    <row r="156" ht="15.75" customHeight="1">
      <c r="A156" s="3" t="s">
        <v>187</v>
      </c>
      <c r="B156" s="3">
        <v>1.7644566E9</v>
      </c>
      <c r="C156" s="3" t="s">
        <v>14</v>
      </c>
      <c r="D156" s="3" t="s">
        <v>27</v>
      </c>
      <c r="E156" s="3">
        <v>17.78</v>
      </c>
      <c r="F156" s="3" t="s">
        <v>16</v>
      </c>
      <c r="G156" s="3">
        <f t="shared" si="1"/>
        <v>0</v>
      </c>
      <c r="I156" s="3">
        <v>418.0</v>
      </c>
      <c r="J156" s="3" t="s">
        <v>17</v>
      </c>
      <c r="L156" s="4">
        <v>45990.95138888889</v>
      </c>
      <c r="M156" s="3">
        <v>22.0</v>
      </c>
    </row>
    <row r="157" ht="15.75" customHeight="1">
      <c r="A157" s="3" t="s">
        <v>188</v>
      </c>
      <c r="B157" s="3">
        <v>1.7645094E9</v>
      </c>
      <c r="C157" s="3" t="s">
        <v>21</v>
      </c>
      <c r="D157" s="3" t="s">
        <v>27</v>
      </c>
      <c r="E157" s="3">
        <v>22.96</v>
      </c>
      <c r="F157" s="3" t="s">
        <v>16</v>
      </c>
      <c r="G157" s="3">
        <f t="shared" si="1"/>
        <v>0</v>
      </c>
      <c r="I157" s="3">
        <v>412.0</v>
      </c>
      <c r="J157" s="3" t="s">
        <v>17</v>
      </c>
      <c r="L157" s="4">
        <v>45991.5625</v>
      </c>
      <c r="M157" s="3">
        <v>13.0</v>
      </c>
    </row>
    <row r="158" ht="15.75" customHeight="1">
      <c r="A158" s="3" t="s">
        <v>189</v>
      </c>
      <c r="B158" s="3">
        <v>1.76435976E9</v>
      </c>
      <c r="C158" s="3" t="s">
        <v>14</v>
      </c>
      <c r="D158" s="3" t="s">
        <v>32</v>
      </c>
      <c r="E158" s="3">
        <v>31.96</v>
      </c>
      <c r="F158" s="3" t="s">
        <v>16</v>
      </c>
      <c r="G158" s="3">
        <f t="shared" si="1"/>
        <v>0</v>
      </c>
      <c r="I158" s="3">
        <v>250.0</v>
      </c>
      <c r="J158" s="3" t="s">
        <v>17</v>
      </c>
      <c r="L158" s="4">
        <v>45989.83055555556</v>
      </c>
      <c r="M158" s="3">
        <v>19.0</v>
      </c>
    </row>
    <row r="159" ht="15.75" customHeight="1">
      <c r="A159" s="3" t="s">
        <v>190</v>
      </c>
      <c r="B159" s="3">
        <v>1.76445186E9</v>
      </c>
      <c r="C159" s="3" t="s">
        <v>37</v>
      </c>
      <c r="D159" s="3" t="s">
        <v>15</v>
      </c>
      <c r="E159" s="3">
        <v>21.09</v>
      </c>
      <c r="F159" s="3" t="s">
        <v>16</v>
      </c>
      <c r="G159" s="3">
        <f t="shared" si="1"/>
        <v>0</v>
      </c>
      <c r="I159" s="3">
        <v>409.0</v>
      </c>
      <c r="J159" s="3" t="s">
        <v>17</v>
      </c>
      <c r="L159" s="4">
        <v>45990.89652777778</v>
      </c>
      <c r="M159" s="3">
        <v>21.0</v>
      </c>
    </row>
    <row r="160" ht="15.75" customHeight="1">
      <c r="A160" s="3" t="s">
        <v>191</v>
      </c>
      <c r="B160" s="3">
        <v>1.76424672E9</v>
      </c>
      <c r="C160" s="3" t="s">
        <v>24</v>
      </c>
      <c r="D160" s="3" t="s">
        <v>27</v>
      </c>
      <c r="E160" s="3">
        <v>35.81</v>
      </c>
      <c r="F160" s="3" t="s">
        <v>16</v>
      </c>
      <c r="G160" s="3">
        <f t="shared" si="1"/>
        <v>0</v>
      </c>
      <c r="I160" s="3">
        <v>583.0</v>
      </c>
      <c r="J160" s="3" t="s">
        <v>17</v>
      </c>
      <c r="L160" s="4">
        <v>45988.52222222222</v>
      </c>
      <c r="M160" s="3">
        <v>12.0</v>
      </c>
    </row>
    <row r="161" ht="15.75" customHeight="1">
      <c r="A161" s="3" t="s">
        <v>192</v>
      </c>
      <c r="B161" s="3">
        <v>1.76446128E9</v>
      </c>
      <c r="C161" s="3" t="s">
        <v>37</v>
      </c>
      <c r="D161" s="3" t="s">
        <v>15</v>
      </c>
      <c r="E161" s="3">
        <v>54.19</v>
      </c>
      <c r="F161" s="3" t="s">
        <v>16</v>
      </c>
      <c r="G161" s="3">
        <f t="shared" si="1"/>
        <v>0</v>
      </c>
      <c r="I161" s="3">
        <v>369.0</v>
      </c>
      <c r="J161" s="3" t="s">
        <v>17</v>
      </c>
      <c r="L161" s="4">
        <v>45991.00555555556</v>
      </c>
      <c r="M161" s="3">
        <v>0.0</v>
      </c>
    </row>
    <row r="162" ht="15.75" customHeight="1">
      <c r="A162" s="3" t="s">
        <v>193</v>
      </c>
      <c r="B162" s="3">
        <v>1.76427798E9</v>
      </c>
      <c r="C162" s="3" t="s">
        <v>37</v>
      </c>
      <c r="D162" s="3" t="s">
        <v>22</v>
      </c>
      <c r="E162" s="3">
        <v>31.15</v>
      </c>
      <c r="F162" s="3" t="s">
        <v>16</v>
      </c>
      <c r="G162" s="3">
        <f t="shared" si="1"/>
        <v>0</v>
      </c>
      <c r="I162" s="3">
        <v>379.0</v>
      </c>
      <c r="J162" s="3" t="s">
        <v>17</v>
      </c>
      <c r="L162" s="4">
        <v>45988.88402777778</v>
      </c>
      <c r="M162" s="3">
        <v>21.0</v>
      </c>
    </row>
    <row r="163" ht="15.75" customHeight="1">
      <c r="A163" s="3" t="s">
        <v>194</v>
      </c>
      <c r="B163" s="3">
        <v>1.76422314E9</v>
      </c>
      <c r="C163" s="3" t="s">
        <v>19</v>
      </c>
      <c r="D163" s="3" t="s">
        <v>32</v>
      </c>
      <c r="E163" s="3">
        <v>33.52</v>
      </c>
      <c r="F163" s="3" t="s">
        <v>16</v>
      </c>
      <c r="G163" s="3">
        <f t="shared" si="1"/>
        <v>0</v>
      </c>
      <c r="I163" s="3">
        <v>418.0</v>
      </c>
      <c r="J163" s="3" t="s">
        <v>17</v>
      </c>
      <c r="L163" s="4">
        <v>45988.24930555555</v>
      </c>
      <c r="M163" s="3">
        <v>5.0</v>
      </c>
    </row>
    <row r="164" ht="15.75" customHeight="1">
      <c r="A164" s="3" t="s">
        <v>195</v>
      </c>
      <c r="B164" s="3">
        <v>1.76401536E9</v>
      </c>
      <c r="C164" s="3" t="s">
        <v>14</v>
      </c>
      <c r="D164" s="3" t="s">
        <v>27</v>
      </c>
      <c r="E164" s="3">
        <v>26.45</v>
      </c>
      <c r="F164" s="3" t="s">
        <v>16</v>
      </c>
      <c r="G164" s="3">
        <f t="shared" si="1"/>
        <v>0</v>
      </c>
      <c r="I164" s="3">
        <v>492.0</v>
      </c>
      <c r="J164" s="3" t="s">
        <v>17</v>
      </c>
      <c r="L164" s="4">
        <v>45985.84444444445</v>
      </c>
      <c r="M164" s="3">
        <v>20.0</v>
      </c>
    </row>
    <row r="165" ht="15.75" customHeight="1">
      <c r="A165" s="3" t="s">
        <v>196</v>
      </c>
      <c r="B165" s="3">
        <v>1.7645406E9</v>
      </c>
      <c r="C165" s="3" t="s">
        <v>24</v>
      </c>
      <c r="D165" s="3" t="s">
        <v>22</v>
      </c>
      <c r="E165" s="3">
        <v>53.49</v>
      </c>
      <c r="F165" s="3" t="s">
        <v>16</v>
      </c>
      <c r="G165" s="3">
        <f t="shared" si="1"/>
        <v>0</v>
      </c>
      <c r="I165" s="3">
        <v>473.0</v>
      </c>
      <c r="J165" s="3" t="s">
        <v>17</v>
      </c>
      <c r="L165" s="4">
        <v>45991.92361111111</v>
      </c>
      <c r="M165" s="3">
        <v>22.0</v>
      </c>
    </row>
    <row r="166" ht="15.75" customHeight="1">
      <c r="A166" s="3" t="s">
        <v>197</v>
      </c>
      <c r="B166" s="3">
        <v>1.76427768E9</v>
      </c>
      <c r="C166" s="3" t="s">
        <v>21</v>
      </c>
      <c r="D166" s="3" t="s">
        <v>22</v>
      </c>
      <c r="E166" s="3">
        <v>10.7</v>
      </c>
      <c r="F166" s="3" t="s">
        <v>16</v>
      </c>
      <c r="G166" s="3">
        <f t="shared" si="1"/>
        <v>0</v>
      </c>
      <c r="I166" s="3">
        <v>64.0</v>
      </c>
      <c r="J166" s="3" t="s">
        <v>17</v>
      </c>
      <c r="L166" s="4">
        <v>45988.88055555556</v>
      </c>
      <c r="M166" s="3">
        <v>21.0</v>
      </c>
    </row>
    <row r="167" ht="15.75" customHeight="1">
      <c r="A167" s="3" t="s">
        <v>198</v>
      </c>
      <c r="B167" s="3">
        <v>1.76453826E9</v>
      </c>
      <c r="C167" s="3" t="s">
        <v>14</v>
      </c>
      <c r="D167" s="3" t="s">
        <v>35</v>
      </c>
      <c r="E167" s="3">
        <v>17.87</v>
      </c>
      <c r="F167" s="3" t="s">
        <v>16</v>
      </c>
      <c r="G167" s="3">
        <f t="shared" si="1"/>
        <v>0</v>
      </c>
      <c r="I167" s="3">
        <v>603.0</v>
      </c>
      <c r="J167" s="3" t="s">
        <v>17</v>
      </c>
      <c r="L167" s="4">
        <v>45991.89652777778</v>
      </c>
      <c r="M167" s="3">
        <v>21.0</v>
      </c>
    </row>
    <row r="168" ht="15.75" customHeight="1">
      <c r="A168" s="3" t="s">
        <v>199</v>
      </c>
      <c r="B168" s="3">
        <v>1.76410434E9</v>
      </c>
      <c r="C168" s="3" t="s">
        <v>19</v>
      </c>
      <c r="D168" s="3" t="s">
        <v>27</v>
      </c>
      <c r="E168" s="3">
        <v>35.25</v>
      </c>
      <c r="F168" s="3" t="s">
        <v>16</v>
      </c>
      <c r="G168" s="3">
        <f t="shared" si="1"/>
        <v>0</v>
      </c>
      <c r="I168" s="3">
        <v>381.0</v>
      </c>
      <c r="J168" s="3" t="s">
        <v>17</v>
      </c>
      <c r="L168" s="4">
        <v>45986.87430555555</v>
      </c>
      <c r="M168" s="3">
        <v>20.0</v>
      </c>
    </row>
    <row r="169" ht="15.75" customHeight="1">
      <c r="A169" s="3" t="s">
        <v>200</v>
      </c>
      <c r="B169" s="3">
        <v>1.76438274E9</v>
      </c>
      <c r="C169" s="3" t="s">
        <v>19</v>
      </c>
      <c r="D169" s="3" t="s">
        <v>15</v>
      </c>
      <c r="E169" s="3">
        <v>37.24</v>
      </c>
      <c r="F169" s="3" t="s">
        <v>16</v>
      </c>
      <c r="G169" s="3">
        <f t="shared" si="1"/>
        <v>0</v>
      </c>
      <c r="I169" s="3">
        <v>80.0</v>
      </c>
      <c r="J169" s="3" t="s">
        <v>17</v>
      </c>
      <c r="L169" s="4">
        <v>45990.09652777778</v>
      </c>
      <c r="M169" s="3">
        <v>2.0</v>
      </c>
    </row>
    <row r="170" ht="15.75" customHeight="1">
      <c r="A170" s="3" t="s">
        <v>201</v>
      </c>
      <c r="B170" s="3">
        <v>1.76436942E9</v>
      </c>
      <c r="C170" s="3" t="s">
        <v>21</v>
      </c>
      <c r="D170" s="3" t="s">
        <v>22</v>
      </c>
      <c r="E170" s="3">
        <v>28.19</v>
      </c>
      <c r="F170" s="3" t="s">
        <v>16</v>
      </c>
      <c r="G170" s="3">
        <f t="shared" si="1"/>
        <v>0</v>
      </c>
      <c r="I170" s="3">
        <v>327.0</v>
      </c>
      <c r="J170" s="3" t="s">
        <v>17</v>
      </c>
      <c r="L170" s="4">
        <v>45989.94236111111</v>
      </c>
      <c r="M170" s="3">
        <v>22.0</v>
      </c>
    </row>
    <row r="171" ht="15.75" customHeight="1">
      <c r="A171" s="3" t="s">
        <v>202</v>
      </c>
      <c r="B171" s="3">
        <v>1.7641038E9</v>
      </c>
      <c r="C171" s="3" t="s">
        <v>24</v>
      </c>
      <c r="D171" s="3" t="s">
        <v>35</v>
      </c>
      <c r="E171" s="3">
        <v>23.14</v>
      </c>
      <c r="F171" s="3" t="s">
        <v>16</v>
      </c>
      <c r="G171" s="3">
        <f t="shared" si="1"/>
        <v>0</v>
      </c>
      <c r="I171" s="3">
        <v>653.0</v>
      </c>
      <c r="J171" s="3" t="s">
        <v>17</v>
      </c>
      <c r="L171" s="4">
        <v>45986.86805555555</v>
      </c>
      <c r="M171" s="3">
        <v>20.0</v>
      </c>
    </row>
    <row r="172" ht="15.75" customHeight="1">
      <c r="A172" s="3" t="s">
        <v>203</v>
      </c>
      <c r="B172" s="3">
        <v>1.76422392E9</v>
      </c>
      <c r="C172" s="3" t="s">
        <v>37</v>
      </c>
      <c r="D172" s="3" t="s">
        <v>32</v>
      </c>
      <c r="E172" s="3">
        <v>27.28</v>
      </c>
      <c r="F172" s="3" t="s">
        <v>16</v>
      </c>
      <c r="G172" s="3">
        <f t="shared" si="1"/>
        <v>0</v>
      </c>
      <c r="I172" s="3">
        <v>263.0</v>
      </c>
      <c r="J172" s="3" t="s">
        <v>17</v>
      </c>
      <c r="L172" s="4">
        <v>45988.25833333333</v>
      </c>
      <c r="M172" s="3">
        <v>6.0</v>
      </c>
    </row>
    <row r="173" ht="15.75" customHeight="1">
      <c r="A173" s="3" t="s">
        <v>204</v>
      </c>
      <c r="B173" s="3">
        <v>1.76416704E9</v>
      </c>
      <c r="C173" s="3" t="s">
        <v>24</v>
      </c>
      <c r="D173" s="3" t="s">
        <v>35</v>
      </c>
      <c r="E173" s="3">
        <v>22.09</v>
      </c>
      <c r="F173" s="3" t="s">
        <v>16</v>
      </c>
      <c r="G173" s="3">
        <f t="shared" si="1"/>
        <v>0</v>
      </c>
      <c r="I173" s="3">
        <v>377.0</v>
      </c>
      <c r="J173" s="3" t="s">
        <v>17</v>
      </c>
      <c r="L173" s="4">
        <v>45987.6</v>
      </c>
      <c r="M173" s="3">
        <v>14.0</v>
      </c>
    </row>
    <row r="174" ht="15.75" customHeight="1">
      <c r="A174" s="3" t="s">
        <v>205</v>
      </c>
      <c r="B174" s="3">
        <v>1.7642262E9</v>
      </c>
      <c r="C174" s="3" t="s">
        <v>37</v>
      </c>
      <c r="D174" s="3" t="s">
        <v>32</v>
      </c>
      <c r="E174" s="3">
        <v>32.86</v>
      </c>
      <c r="F174" s="3" t="s">
        <v>16</v>
      </c>
      <c r="G174" s="3">
        <f t="shared" si="1"/>
        <v>0</v>
      </c>
      <c r="I174" s="3">
        <v>328.0</v>
      </c>
      <c r="J174" s="3" t="s">
        <v>17</v>
      </c>
      <c r="L174" s="4">
        <v>45988.28472222222</v>
      </c>
      <c r="M174" s="3">
        <v>6.0</v>
      </c>
    </row>
    <row r="175" ht="15.75" customHeight="1">
      <c r="A175" s="3" t="s">
        <v>206</v>
      </c>
      <c r="B175" s="3">
        <v>1.76418894E9</v>
      </c>
      <c r="C175" s="3" t="s">
        <v>21</v>
      </c>
      <c r="D175" s="3" t="s">
        <v>22</v>
      </c>
      <c r="E175" s="3">
        <v>34.27</v>
      </c>
      <c r="F175" s="3" t="s">
        <v>16</v>
      </c>
      <c r="G175" s="3">
        <f t="shared" si="1"/>
        <v>0</v>
      </c>
      <c r="I175" s="3">
        <v>376.0</v>
      </c>
      <c r="J175" s="3" t="s">
        <v>17</v>
      </c>
      <c r="L175" s="4">
        <v>45987.85347222222</v>
      </c>
      <c r="M175" s="3">
        <v>20.0</v>
      </c>
    </row>
    <row r="176" ht="15.75" customHeight="1">
      <c r="A176" s="3" t="s">
        <v>207</v>
      </c>
      <c r="B176" s="3">
        <v>1.76402076E9</v>
      </c>
      <c r="C176" s="3" t="s">
        <v>19</v>
      </c>
      <c r="D176" s="3" t="s">
        <v>35</v>
      </c>
      <c r="E176" s="3">
        <v>45.28</v>
      </c>
      <c r="F176" s="3" t="s">
        <v>16</v>
      </c>
      <c r="G176" s="3">
        <f t="shared" si="1"/>
        <v>0</v>
      </c>
      <c r="I176" s="3">
        <v>453.0</v>
      </c>
      <c r="J176" s="3" t="s">
        <v>17</v>
      </c>
      <c r="L176" s="4">
        <v>45985.90694444445</v>
      </c>
      <c r="M176" s="3">
        <v>21.0</v>
      </c>
    </row>
    <row r="177" ht="15.75" customHeight="1">
      <c r="A177" s="3" t="s">
        <v>208</v>
      </c>
      <c r="B177" s="3">
        <v>1.76418888E9</v>
      </c>
      <c r="C177" s="3" t="s">
        <v>21</v>
      </c>
      <c r="D177" s="3" t="s">
        <v>15</v>
      </c>
      <c r="E177" s="3">
        <v>25.1</v>
      </c>
      <c r="F177" s="3" t="s">
        <v>16</v>
      </c>
      <c r="G177" s="3">
        <f t="shared" si="1"/>
        <v>0</v>
      </c>
      <c r="I177" s="3">
        <v>159.0</v>
      </c>
      <c r="J177" s="3" t="s">
        <v>17</v>
      </c>
      <c r="L177" s="4">
        <v>45987.85277777778</v>
      </c>
      <c r="M177" s="3">
        <v>20.0</v>
      </c>
    </row>
    <row r="178" ht="15.75" customHeight="1">
      <c r="A178" s="3" t="s">
        <v>209</v>
      </c>
      <c r="B178" s="3">
        <v>1.7644569E9</v>
      </c>
      <c r="C178" s="3" t="s">
        <v>21</v>
      </c>
      <c r="D178" s="3" t="s">
        <v>32</v>
      </c>
      <c r="E178" s="3">
        <v>42.61</v>
      </c>
      <c r="F178" s="3" t="s">
        <v>16</v>
      </c>
      <c r="G178" s="3">
        <f t="shared" si="1"/>
        <v>0</v>
      </c>
      <c r="I178" s="3">
        <v>374.0</v>
      </c>
      <c r="J178" s="3" t="s">
        <v>17</v>
      </c>
      <c r="L178" s="4">
        <v>45990.95486111111</v>
      </c>
      <c r="M178" s="3">
        <v>22.0</v>
      </c>
    </row>
    <row r="179" ht="15.75" customHeight="1">
      <c r="A179" s="3" t="s">
        <v>210</v>
      </c>
      <c r="B179" s="3">
        <v>1.76428224E9</v>
      </c>
      <c r="C179" s="3" t="s">
        <v>21</v>
      </c>
      <c r="D179" s="3" t="s">
        <v>35</v>
      </c>
      <c r="E179" s="3">
        <v>45.62</v>
      </c>
      <c r="F179" s="3" t="s">
        <v>16</v>
      </c>
      <c r="G179" s="3">
        <f t="shared" si="1"/>
        <v>0</v>
      </c>
      <c r="I179" s="3">
        <v>40.0</v>
      </c>
      <c r="J179" s="3" t="s">
        <v>17</v>
      </c>
      <c r="L179" s="4">
        <v>45988.93333333333</v>
      </c>
      <c r="M179" s="3">
        <v>22.0</v>
      </c>
    </row>
    <row r="180" ht="15.75" customHeight="1">
      <c r="A180" s="3" t="s">
        <v>211</v>
      </c>
      <c r="B180" s="3">
        <v>1.76445582E9</v>
      </c>
      <c r="C180" s="3" t="s">
        <v>21</v>
      </c>
      <c r="D180" s="3" t="s">
        <v>35</v>
      </c>
      <c r="E180" s="3">
        <v>41.54</v>
      </c>
      <c r="F180" s="3" t="s">
        <v>16</v>
      </c>
      <c r="G180" s="3">
        <f t="shared" si="1"/>
        <v>0</v>
      </c>
      <c r="I180" s="3">
        <v>483.0</v>
      </c>
      <c r="J180" s="3" t="s">
        <v>17</v>
      </c>
      <c r="L180" s="4">
        <v>45990.94236111111</v>
      </c>
      <c r="M180" s="3">
        <v>22.0</v>
      </c>
    </row>
    <row r="181" ht="15.75" customHeight="1">
      <c r="A181" s="3" t="s">
        <v>212</v>
      </c>
      <c r="B181" s="3">
        <v>1.76447022E9</v>
      </c>
      <c r="C181" s="3" t="s">
        <v>14</v>
      </c>
      <c r="D181" s="3" t="s">
        <v>27</v>
      </c>
      <c r="E181" s="3">
        <v>43.09</v>
      </c>
      <c r="F181" s="3" t="s">
        <v>16</v>
      </c>
      <c r="G181" s="3">
        <f t="shared" si="1"/>
        <v>0</v>
      </c>
      <c r="I181" s="3">
        <v>227.0</v>
      </c>
      <c r="J181" s="3" t="s">
        <v>17</v>
      </c>
      <c r="L181" s="4">
        <v>45991.10902777778</v>
      </c>
      <c r="M181" s="3">
        <v>2.0</v>
      </c>
    </row>
    <row r="182" ht="15.75" customHeight="1">
      <c r="A182" s="3" t="s">
        <v>213</v>
      </c>
      <c r="B182" s="3">
        <v>1.76435472E9</v>
      </c>
      <c r="C182" s="3" t="s">
        <v>19</v>
      </c>
      <c r="D182" s="3" t="s">
        <v>15</v>
      </c>
      <c r="E182" s="3">
        <v>29.75</v>
      </c>
      <c r="F182" s="3" t="s">
        <v>16</v>
      </c>
      <c r="G182" s="3">
        <f t="shared" si="1"/>
        <v>0</v>
      </c>
      <c r="I182" s="3">
        <v>154.0</v>
      </c>
      <c r="J182" s="3" t="s">
        <v>17</v>
      </c>
      <c r="L182" s="4">
        <v>45989.77222222222</v>
      </c>
      <c r="M182" s="3">
        <v>18.0</v>
      </c>
    </row>
    <row r="183" ht="15.75" customHeight="1">
      <c r="A183" s="3" t="s">
        <v>214</v>
      </c>
      <c r="B183" s="3">
        <v>1.76435202E9</v>
      </c>
      <c r="C183" s="3" t="s">
        <v>14</v>
      </c>
      <c r="D183" s="3" t="s">
        <v>22</v>
      </c>
      <c r="E183" s="3">
        <v>18.77</v>
      </c>
      <c r="F183" s="3" t="s">
        <v>16</v>
      </c>
      <c r="G183" s="3">
        <f t="shared" si="1"/>
        <v>0</v>
      </c>
      <c r="I183" s="3">
        <v>232.0</v>
      </c>
      <c r="J183" s="3" t="s">
        <v>17</v>
      </c>
      <c r="L183" s="4">
        <v>45989.74097222222</v>
      </c>
      <c r="M183" s="3">
        <v>17.0</v>
      </c>
    </row>
    <row r="184" ht="15.75" customHeight="1">
      <c r="A184" s="3" t="s">
        <v>215</v>
      </c>
      <c r="B184" s="3">
        <v>1.76436306E9</v>
      </c>
      <c r="C184" s="3" t="s">
        <v>21</v>
      </c>
      <c r="D184" s="3" t="s">
        <v>15</v>
      </c>
      <c r="E184" s="3">
        <v>19.73</v>
      </c>
      <c r="F184" s="3" t="s">
        <v>16</v>
      </c>
      <c r="G184" s="3">
        <f t="shared" si="1"/>
        <v>0</v>
      </c>
      <c r="I184" s="3">
        <v>107.0</v>
      </c>
      <c r="J184" s="3" t="s">
        <v>17</v>
      </c>
      <c r="L184" s="4">
        <v>45989.86875</v>
      </c>
      <c r="M184" s="3">
        <v>20.0</v>
      </c>
    </row>
    <row r="185" ht="15.75" customHeight="1">
      <c r="A185" s="3" t="s">
        <v>216</v>
      </c>
      <c r="B185" s="3">
        <v>1.76428068E9</v>
      </c>
      <c r="C185" s="3" t="s">
        <v>21</v>
      </c>
      <c r="D185" s="3" t="s">
        <v>22</v>
      </c>
      <c r="E185" s="3">
        <v>39.35</v>
      </c>
      <c r="F185" s="3" t="s">
        <v>16</v>
      </c>
      <c r="G185" s="3">
        <f t="shared" si="1"/>
        <v>0</v>
      </c>
      <c r="I185" s="3">
        <v>649.0</v>
      </c>
      <c r="J185" s="3" t="s">
        <v>17</v>
      </c>
      <c r="L185" s="4">
        <v>45988.91527777778</v>
      </c>
      <c r="M185" s="3">
        <v>21.0</v>
      </c>
    </row>
    <row r="186" ht="15.75" customHeight="1">
      <c r="A186" s="3" t="s">
        <v>217</v>
      </c>
      <c r="B186" s="3">
        <v>1.76409078E9</v>
      </c>
      <c r="C186" s="3" t="s">
        <v>19</v>
      </c>
      <c r="D186" s="3" t="s">
        <v>22</v>
      </c>
      <c r="E186" s="3">
        <v>27.46</v>
      </c>
      <c r="F186" s="3" t="s">
        <v>16</v>
      </c>
      <c r="G186" s="3">
        <f t="shared" si="1"/>
        <v>0</v>
      </c>
      <c r="I186" s="3">
        <v>714.0</v>
      </c>
      <c r="J186" s="3" t="s">
        <v>17</v>
      </c>
      <c r="L186" s="4">
        <v>45986.71736111111</v>
      </c>
      <c r="M186" s="3">
        <v>17.0</v>
      </c>
    </row>
    <row r="187" ht="15.75" customHeight="1">
      <c r="A187" s="3" t="s">
        <v>218</v>
      </c>
      <c r="B187" s="3">
        <v>1.76453526E9</v>
      </c>
      <c r="C187" s="3" t="s">
        <v>24</v>
      </c>
      <c r="D187" s="3" t="s">
        <v>15</v>
      </c>
      <c r="E187" s="3">
        <v>31.31</v>
      </c>
      <c r="F187" s="3" t="s">
        <v>16</v>
      </c>
      <c r="G187" s="3">
        <f t="shared" si="1"/>
        <v>0</v>
      </c>
      <c r="I187" s="3">
        <v>271.0</v>
      </c>
      <c r="J187" s="3" t="s">
        <v>17</v>
      </c>
      <c r="L187" s="4">
        <v>45991.86180555556</v>
      </c>
      <c r="M187" s="3">
        <v>20.0</v>
      </c>
    </row>
    <row r="188" ht="15.75" customHeight="1">
      <c r="A188" s="3" t="s">
        <v>219</v>
      </c>
      <c r="B188" s="3">
        <v>1.76432112E9</v>
      </c>
      <c r="C188" s="3" t="s">
        <v>19</v>
      </c>
      <c r="D188" s="3" t="s">
        <v>22</v>
      </c>
      <c r="E188" s="3">
        <v>43.82</v>
      </c>
      <c r="F188" s="3" t="s">
        <v>16</v>
      </c>
      <c r="G188" s="3">
        <f t="shared" si="1"/>
        <v>0</v>
      </c>
      <c r="I188" s="3">
        <v>284.0</v>
      </c>
      <c r="J188" s="3" t="s">
        <v>17</v>
      </c>
      <c r="L188" s="4">
        <v>45989.38333333333</v>
      </c>
      <c r="M188" s="3">
        <v>9.0</v>
      </c>
    </row>
    <row r="189" ht="15.75" customHeight="1">
      <c r="A189" s="3" t="s">
        <v>220</v>
      </c>
      <c r="B189" s="3">
        <v>1.76422944E9</v>
      </c>
      <c r="C189" s="3" t="s">
        <v>37</v>
      </c>
      <c r="D189" s="3" t="s">
        <v>15</v>
      </c>
      <c r="E189" s="3">
        <v>36.94</v>
      </c>
      <c r="F189" s="3" t="s">
        <v>16</v>
      </c>
      <c r="G189" s="3">
        <f t="shared" si="1"/>
        <v>0</v>
      </c>
      <c r="I189" s="3">
        <v>468.0</v>
      </c>
      <c r="J189" s="3" t="s">
        <v>17</v>
      </c>
      <c r="L189" s="4">
        <v>45988.32222222222</v>
      </c>
      <c r="M189" s="3">
        <v>7.0</v>
      </c>
    </row>
    <row r="190" ht="15.75" customHeight="1">
      <c r="A190" s="3" t="s">
        <v>221</v>
      </c>
      <c r="B190" s="3">
        <v>1.76417262E9</v>
      </c>
      <c r="C190" s="3" t="s">
        <v>19</v>
      </c>
      <c r="D190" s="3" t="s">
        <v>15</v>
      </c>
      <c r="E190" s="3">
        <v>21.55</v>
      </c>
      <c r="F190" s="3" t="s">
        <v>16</v>
      </c>
      <c r="G190" s="3">
        <f t="shared" si="1"/>
        <v>0</v>
      </c>
      <c r="I190" s="3">
        <v>499.0</v>
      </c>
      <c r="J190" s="3" t="s">
        <v>17</v>
      </c>
      <c r="L190" s="4">
        <v>45987.66458333333</v>
      </c>
      <c r="M190" s="3">
        <v>15.0</v>
      </c>
    </row>
    <row r="191" ht="15.75" customHeight="1">
      <c r="A191" s="3" t="s">
        <v>222</v>
      </c>
      <c r="B191" s="3">
        <v>1.76427078E9</v>
      </c>
      <c r="C191" s="3" t="s">
        <v>37</v>
      </c>
      <c r="D191" s="3" t="s">
        <v>32</v>
      </c>
      <c r="E191" s="3">
        <v>48.44</v>
      </c>
      <c r="F191" s="3" t="s">
        <v>16</v>
      </c>
      <c r="G191" s="3">
        <f t="shared" si="1"/>
        <v>0</v>
      </c>
      <c r="I191" s="3">
        <v>174.0</v>
      </c>
      <c r="J191" s="3" t="s">
        <v>17</v>
      </c>
      <c r="L191" s="4">
        <v>45988.80069444444</v>
      </c>
      <c r="M191" s="3">
        <v>19.0</v>
      </c>
    </row>
    <row r="192" ht="15.75" customHeight="1">
      <c r="A192" s="3" t="s">
        <v>223</v>
      </c>
      <c r="B192" s="3">
        <v>1.76398284E9</v>
      </c>
      <c r="C192" s="3" t="s">
        <v>19</v>
      </c>
      <c r="D192" s="3" t="s">
        <v>35</v>
      </c>
      <c r="E192" s="3">
        <v>48.74</v>
      </c>
      <c r="F192" s="3" t="s">
        <v>16</v>
      </c>
      <c r="G192" s="3">
        <f t="shared" si="1"/>
        <v>0</v>
      </c>
      <c r="I192" s="3">
        <v>428.0</v>
      </c>
      <c r="J192" s="3" t="s">
        <v>17</v>
      </c>
      <c r="L192" s="4">
        <v>45985.46805555555</v>
      </c>
      <c r="M192" s="3">
        <v>11.0</v>
      </c>
    </row>
    <row r="193" ht="15.75" customHeight="1">
      <c r="A193" s="3" t="s">
        <v>224</v>
      </c>
      <c r="B193" s="3">
        <v>1.76452656E9</v>
      </c>
      <c r="C193" s="3" t="s">
        <v>37</v>
      </c>
      <c r="D193" s="3" t="s">
        <v>35</v>
      </c>
      <c r="E193" s="3">
        <v>41.23</v>
      </c>
      <c r="F193" s="3" t="s">
        <v>16</v>
      </c>
      <c r="G193" s="3">
        <f t="shared" si="1"/>
        <v>0</v>
      </c>
      <c r="I193" s="3">
        <v>516.0</v>
      </c>
      <c r="J193" s="3" t="s">
        <v>17</v>
      </c>
      <c r="L193" s="4">
        <v>45991.76111111111</v>
      </c>
      <c r="M193" s="3">
        <v>18.0</v>
      </c>
    </row>
    <row r="194" ht="15.75" customHeight="1">
      <c r="A194" s="3" t="s">
        <v>225</v>
      </c>
      <c r="B194" s="3">
        <v>1.76435346E9</v>
      </c>
      <c r="C194" s="3" t="s">
        <v>24</v>
      </c>
      <c r="D194" s="3" t="s">
        <v>27</v>
      </c>
      <c r="E194" s="3">
        <v>39.65</v>
      </c>
      <c r="F194" s="3" t="s">
        <v>28</v>
      </c>
      <c r="G194" s="3">
        <f t="shared" si="1"/>
        <v>1</v>
      </c>
      <c r="H194" s="3" t="s">
        <v>41</v>
      </c>
      <c r="I194" s="3">
        <v>231.0</v>
      </c>
      <c r="J194" s="3" t="s">
        <v>17</v>
      </c>
      <c r="L194" s="4">
        <v>45989.75763888889</v>
      </c>
      <c r="M194" s="3">
        <v>18.0</v>
      </c>
    </row>
    <row r="195" ht="15.75" customHeight="1">
      <c r="A195" s="3" t="s">
        <v>226</v>
      </c>
      <c r="B195" s="3">
        <v>1.76444508E9</v>
      </c>
      <c r="C195" s="3" t="s">
        <v>37</v>
      </c>
      <c r="D195" s="3" t="s">
        <v>27</v>
      </c>
      <c r="E195" s="3">
        <v>24.01</v>
      </c>
      <c r="F195" s="3" t="s">
        <v>16</v>
      </c>
      <c r="G195" s="3">
        <f t="shared" si="1"/>
        <v>0</v>
      </c>
      <c r="I195" s="3">
        <v>96.0</v>
      </c>
      <c r="J195" s="3" t="s">
        <v>17</v>
      </c>
      <c r="L195" s="4">
        <v>45990.81805555556</v>
      </c>
      <c r="M195" s="3">
        <v>19.0</v>
      </c>
    </row>
    <row r="196" ht="15.75" customHeight="1">
      <c r="A196" s="3" t="s">
        <v>227</v>
      </c>
      <c r="B196" s="3">
        <v>1.7640087E9</v>
      </c>
      <c r="C196" s="3" t="s">
        <v>14</v>
      </c>
      <c r="D196" s="3" t="s">
        <v>35</v>
      </c>
      <c r="E196" s="3">
        <v>31.73</v>
      </c>
      <c r="F196" s="3" t="s">
        <v>16</v>
      </c>
      <c r="G196" s="3">
        <f t="shared" si="1"/>
        <v>0</v>
      </c>
      <c r="I196" s="3">
        <v>496.0</v>
      </c>
      <c r="J196" s="3" t="s">
        <v>17</v>
      </c>
      <c r="L196" s="4">
        <v>45985.76736111111</v>
      </c>
      <c r="M196" s="3">
        <v>18.0</v>
      </c>
    </row>
    <row r="197" ht="15.75" customHeight="1">
      <c r="A197" s="3" t="s">
        <v>228</v>
      </c>
      <c r="B197" s="3">
        <v>1.76439024E9</v>
      </c>
      <c r="C197" s="3" t="s">
        <v>21</v>
      </c>
      <c r="D197" s="3" t="s">
        <v>22</v>
      </c>
      <c r="E197" s="3">
        <v>46.59</v>
      </c>
      <c r="F197" s="3" t="s">
        <v>16</v>
      </c>
      <c r="G197" s="3">
        <f t="shared" si="1"/>
        <v>0</v>
      </c>
      <c r="I197" s="3">
        <v>545.0</v>
      </c>
      <c r="J197" s="3" t="s">
        <v>17</v>
      </c>
      <c r="L197" s="4">
        <v>45990.18333333333</v>
      </c>
      <c r="M197" s="3">
        <v>4.0</v>
      </c>
    </row>
    <row r="198" ht="15.75" customHeight="1">
      <c r="A198" s="3" t="s">
        <v>229</v>
      </c>
      <c r="B198" s="3">
        <v>1.76400804E9</v>
      </c>
      <c r="C198" s="3" t="s">
        <v>21</v>
      </c>
      <c r="D198" s="3" t="s">
        <v>22</v>
      </c>
      <c r="E198" s="3">
        <v>33.42</v>
      </c>
      <c r="F198" s="3" t="s">
        <v>16</v>
      </c>
      <c r="G198" s="3">
        <f t="shared" si="1"/>
        <v>0</v>
      </c>
      <c r="I198" s="3">
        <v>540.0</v>
      </c>
      <c r="J198" s="3" t="s">
        <v>17</v>
      </c>
      <c r="L198" s="4">
        <v>45985.75972222222</v>
      </c>
      <c r="M198" s="3">
        <v>18.0</v>
      </c>
    </row>
    <row r="199" ht="15.75" customHeight="1">
      <c r="A199" s="3" t="s">
        <v>230</v>
      </c>
      <c r="B199" s="3">
        <v>1.76417874E9</v>
      </c>
      <c r="C199" s="3" t="s">
        <v>24</v>
      </c>
      <c r="D199" s="3" t="s">
        <v>35</v>
      </c>
      <c r="E199" s="3">
        <v>44.21</v>
      </c>
      <c r="F199" s="3" t="s">
        <v>16</v>
      </c>
      <c r="G199" s="3">
        <f t="shared" si="1"/>
        <v>0</v>
      </c>
      <c r="I199" s="3">
        <v>318.0</v>
      </c>
      <c r="J199" s="3" t="s">
        <v>17</v>
      </c>
      <c r="L199" s="4">
        <v>45987.73541666667</v>
      </c>
      <c r="M199" s="3">
        <v>17.0</v>
      </c>
    </row>
    <row r="200" ht="15.75" customHeight="1">
      <c r="A200" s="3" t="s">
        <v>231</v>
      </c>
      <c r="B200" s="3">
        <v>1.76400906E9</v>
      </c>
      <c r="C200" s="3" t="s">
        <v>37</v>
      </c>
      <c r="D200" s="3" t="s">
        <v>22</v>
      </c>
      <c r="E200" s="3">
        <v>31.23</v>
      </c>
      <c r="F200" s="3" t="s">
        <v>16</v>
      </c>
      <c r="G200" s="3">
        <f t="shared" si="1"/>
        <v>0</v>
      </c>
      <c r="I200" s="3">
        <v>388.0</v>
      </c>
      <c r="J200" s="3" t="s">
        <v>17</v>
      </c>
      <c r="L200" s="4">
        <v>45985.77152777778</v>
      </c>
      <c r="M200" s="3">
        <v>18.0</v>
      </c>
    </row>
    <row r="201" ht="15.75" customHeight="1">
      <c r="A201" s="3" t="s">
        <v>232</v>
      </c>
      <c r="B201" s="3">
        <v>1.76419368E9</v>
      </c>
      <c r="C201" s="3" t="s">
        <v>37</v>
      </c>
      <c r="D201" s="3" t="s">
        <v>22</v>
      </c>
      <c r="E201" s="3">
        <v>39.83</v>
      </c>
      <c r="F201" s="3" t="s">
        <v>16</v>
      </c>
      <c r="G201" s="3">
        <f t="shared" si="1"/>
        <v>0</v>
      </c>
      <c r="I201" s="3">
        <v>429.0</v>
      </c>
      <c r="J201" s="3" t="s">
        <v>17</v>
      </c>
      <c r="L201" s="4">
        <v>45987.90833333333</v>
      </c>
      <c r="M201" s="3">
        <v>21.0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